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313619c5a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일정" sheetId="1" r:id="R73437bcaef8d4c22"/>
    <x:sheet xmlns:r="http://schemas.openxmlformats.org/officeDocument/2006/relationships" name="2026-07 캘린더" sheetId="2" r:id="Raa975d1c511e427b"/>
    <x:sheet xmlns:r="http://schemas.openxmlformats.org/officeDocument/2006/relationships" name="2026-08 캘린더" sheetId="3" r:id="R3fd3c47986c74023"/>
    <x:sheet xmlns:r="http://schemas.openxmlformats.org/officeDocument/2006/relationships" name="입력 기준" sheetId="4" r:id="R0de0fb14013d4c3f"/>
  </x:sheets>
</x:workbook>
</file>

<file path=xl/comments1.xml><?xml version="1.0" encoding="utf-8"?>
<x:comments xmlns:x="http://schemas.openxmlformats.org/spreadsheetml/2006/main">
  <x:authors>
    <x:author>tc={64644333-D010-085E-4B2E-10C577D9B3CA}</x:author>
    <x:author>tc={A0623DB3-72DD-D607-44EF-E06BA5E4077A}</x:author>
  </x:authors>
  <x:commentList>
    <x:comment ref="J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각 일정의 공식 채널·당사자 SNS·플랫폼 공지 URL을 기록합니다. 방송 24시간 전에 변경 여부를 다시 확인하세요.</x:t>
        </x:r>
      </x:text>
    </x:comment>
    <x:comment ref="G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최초 데뷔, 플랫폼 이적, 재데뷔, Live2D·3D 공개를 구분해 신규 버튜버 중복 집계를 방지합니다.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14">
    <x:font>
      <x:sz val="11"/>
      <x:name val="Carlito"/>
    </x:font>
    <x:font>
      <x:sz val="10"/>
      <x:color rgb="FF172033"/>
      <x:name val="맑은 고딕"/>
    </x:font>
    <x:font>
      <x:b/>
      <x:sz val="18"/>
      <x:color rgb="FFFFFFFF"/>
      <x:name val="맑은 고딕"/>
    </x:font>
    <x:font>
      <x:sz val="10"/>
      <x:color rgb="FF667085"/>
      <x:name val="맑은 고딕"/>
    </x:font>
    <x:font>
      <x:b/>
      <x:sz val="10"/>
      <x:color rgb="FF172033"/>
      <x:name val="맑은 고딕"/>
    </x:font>
    <x:font>
      <x:i/>
      <x:sz val="9"/>
      <x:color rgb="FF667085"/>
      <x:name val="맑은 고딕"/>
    </x:font>
    <x:font>
      <x:b/>
      <x:sz val="10"/>
      <x:color rgb="FFFFFFFF"/>
      <x:name val="맑은 고딕"/>
    </x:font>
    <x:font>
      <x:b/>
      <x:sz val="18"/>
      <x:color rgb="FF1E293B"/>
      <x:name val="맑은 고딕"/>
    </x:font>
    <x:font>
      <x:b/>
      <x:sz val="18"/>
      <x:color rgb="FF00C73C"/>
      <x:name val="맑은 고딕"/>
    </x:font>
    <x:font>
      <x:b/>
      <x:sz val="18"/>
      <x:color rgb="FF1677FF"/>
      <x:name val="맑은 고딕"/>
    </x:font>
    <x:font>
      <x:b/>
      <x:sz val="18"/>
      <x:color rgb="FFF59E0B"/>
      <x:name val="맑은 고딕"/>
    </x:font>
    <x:font>
      <x:sz val="9"/>
      <x:color rgb="FF172033"/>
      <x:name val="맑은 고딕"/>
    </x:font>
    <x:font>
      <x:sz val="9"/>
      <x:color rgb="FF667085"/>
      <x:name val="맑은 고딕"/>
    </x:font>
    <x:font>
      <x:b/>
      <x:sz val="11"/>
      <x:color rgb="FFFFFFFF"/>
      <x:name val="맑은 고딕"/>
    </x:font>
  </x:fonts>
  <x:fills count="13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00C73C"/>
      </x:patternFill>
    </x:fill>
    <x:fill>
      <x:patternFill patternType="solid">
        <x:fgColor rgb="FF1677FF"/>
      </x:patternFill>
    </x:fill>
    <x:fill>
      <x:patternFill patternType="solid">
        <x:fgColor rgb="FFF59E0B"/>
      </x:patternFill>
    </x:fill>
    <x:fill>
      <x:patternFill patternType="solid">
        <x:fgColor rgb="FFEAF3FF"/>
      </x:patternFill>
    </x:fill>
    <x:fill>
      <x:patternFill patternType="solid">
        <x:fgColor rgb="FFF2ECFF"/>
      </x:patternFill>
    </x:fill>
    <x:fill>
      <x:patternFill patternType="solid">
        <x:fgColor rgb="FFEEF2F6"/>
      </x:patternFill>
    </x:fill>
    <x:fill>
      <x:patternFill patternType="solid">
        <x:fgColor rgb="FFE9FBEF"/>
      </x:patternFill>
    </x:fill>
    <x:fill>
      <x:patternFill patternType="solid">
        <x:fgColor rgb="FF7C3AED"/>
      </x:patternFill>
    </x:fill>
  </x:fills>
  <x:borders count="17">
    <x:border/>
    <x:border>
      <x:left style="thin">
        <x:color rgb="FF1E293B"/>
      </x:left>
      <x:top style="thin">
        <x:color rgb="FF1E293B"/>
      </x:top>
      <x:bottom style="thin">
        <x:color rgb="FF1E293B"/>
      </x:bottom>
    </x:border>
    <x:border>
      <x:right style="thin">
        <x:color rgb="FF1E293B"/>
      </x:right>
      <x:top style="thin">
        <x:color rgb="FF1E293B"/>
      </x:top>
      <x:bottom style="thin">
        <x:color rgb="FF1E293B"/>
      </x:bottom>
    </x:border>
    <x:border>
      <x:left style="thin">
        <x:color rgb="FF00C73C"/>
      </x:left>
      <x:top style="thin">
        <x:color rgb="FF00C73C"/>
      </x:top>
      <x:bottom style="thin">
        <x:color rgb="FF00C73C"/>
      </x:bottom>
    </x:border>
    <x:border>
      <x:right style="thin">
        <x:color rgb="FF00C73C"/>
      </x:right>
      <x:top style="thin">
        <x:color rgb="FF00C73C"/>
      </x:top>
      <x:bottom style="thin">
        <x:color rgb="FF00C73C"/>
      </x:bottom>
    </x:border>
    <x:border>
      <x:left style="thin">
        <x:color rgb="FF1677FF"/>
      </x:left>
      <x:top style="thin">
        <x:color rgb="FF1677FF"/>
      </x:top>
      <x:bottom style="thin">
        <x:color rgb="FF1677FF"/>
      </x:bottom>
    </x:border>
    <x:border>
      <x:right style="thin">
        <x:color rgb="FF1677FF"/>
      </x:right>
      <x:top style="thin">
        <x:color rgb="FF1677FF"/>
      </x:top>
      <x:bottom style="thin">
        <x:color rgb="FF1677FF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top style="thin">
        <x:color rgb="FF1E293B"/>
      </x:top>
      <x:bottom style="thin">
        <x:color rgb="FF1E293B"/>
      </x:bottom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right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2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3" xfId="0" applyNumberFormat="1" applyFont="1" applyFill="1" applyBorder="1" applyAlignment="1">
      <x:alignment horizontal="center"/>
    </x:xf>
    <x:xf numFmtId="0" fontId="8" fillId="4" borderId="4" xfId="0" applyNumberFormat="1" applyFont="1" applyFill="1" applyBorder="1" applyAlignment="1">
      <x:alignment horizontal="center"/>
    </x:xf>
    <x:xf numFmtId="0" fontId="8" fillId="4" borderId="3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5" xfId="0" applyNumberFormat="1" applyFont="1" applyFill="1" applyBorder="1" applyAlignment="1">
      <x:alignment horizontal="center"/>
    </x:xf>
    <x:xf numFmtId="0" fontId="9" fillId="4" borderId="6" xfId="0" applyNumberFormat="1" applyFont="1" applyFill="1" applyBorder="1" applyAlignment="1">
      <x:alignment horizontal="center"/>
    </x:xf>
    <x:xf numFmtId="0" fontId="9" fillId="4" borderId="5" xfId="0" applyNumberFormat="1" applyFont="1" applyFill="1" applyBorder="1" applyAlignment="1">
      <x:alignment horizontal="center" vertical="center"/>
    </x:xf>
    <x:xf numFmtId="0" fontId="9" fillId="4" borderId="6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7" xfId="0" applyNumberFormat="1" applyFont="1" applyFill="1" applyBorder="1"/>
    <x:xf numFmtId="0" fontId="10" fillId="4" borderId="8" xfId="0" applyNumberFormat="1" applyFont="1" applyFill="1" applyBorder="1"/>
    <x:xf numFmtId="0" fontId="10" fillId="4" borderId="9" xfId="0" applyNumberFormat="1" applyFont="1" applyFill="1" applyBorder="1"/>
    <x:xf numFmtId="0" fontId="10" fillId="4" borderId="7" xfId="0" applyNumberFormat="1" applyFont="1" applyFill="1" applyBorder="1" applyAlignment="1">
      <x:alignment horizontal="center"/>
    </x:xf>
    <x:xf numFmtId="0" fontId="10" fillId="4" borderId="8" xfId="0" applyNumberFormat="1" applyFont="1" applyFill="1" applyBorder="1" applyAlignment="1">
      <x:alignment horizontal="center"/>
    </x:xf>
    <x:xf numFmtId="0" fontId="10" fillId="4" borderId="9" xfId="0" applyNumberFormat="1" applyFont="1" applyFill="1" applyBorder="1" applyAlignment="1">
      <x:alignment horizontal="center"/>
    </x:xf>
    <x:xf numFmtId="0" fontId="10" fillId="4" borderId="7" xfId="0" applyNumberFormat="1" applyFont="1" applyFill="1" applyBorder="1" applyAlignment="1">
      <x:alignment horizontal="center" vertical="center"/>
    </x:xf>
    <x:xf numFmtId="0" fontId="10" fillId="4" borderId="8" xfId="0" applyNumberFormat="1" applyFont="1" applyFill="1" applyBorder="1" applyAlignment="1">
      <x:alignment horizontal="center" vertical="center"/>
    </x:xf>
    <x:xf numFmtId="0" fontId="10" fillId="4" borderId="9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0" xfId="0" applyNumberFormat="1" applyFont="1" applyFill="1" applyBorder="1"/>
    <x:xf numFmtId="0" fontId="6" fillId="2" borderId="2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0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10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1" xfId="0" applyNumberFormat="1" applyFont="1" applyFill="1" applyBorder="1"/>
    <x:xf numFmtId="0" fontId="11" fillId="0" borderId="12" xfId="0" applyNumberFormat="1" applyFont="1" applyFill="1" applyBorder="1"/>
    <x:xf numFmtId="0" fontId="11" fillId="0" borderId="13" xfId="0" applyNumberFormat="1" applyFont="1" applyFill="1" applyBorder="1"/>
    <x:xf numFmtId="0" fontId="11" fillId="0" borderId="11" xfId="0" applyNumberFormat="1" applyFont="1" applyFill="1" applyBorder="1" applyAlignment="1">
      <x:alignment wrapText="1"/>
    </x:xf>
    <x:xf numFmtId="0" fontId="11" fillId="0" borderId="12" xfId="0" applyNumberFormat="1" applyFont="1" applyFill="1" applyBorder="1" applyAlignment="1">
      <x:alignment wrapText="1"/>
    </x:xf>
    <x:xf numFmtId="0" fontId="11" fillId="0" borderId="13" xfId="0" applyNumberFormat="1" applyFont="1" applyFill="1" applyBorder="1" applyAlignment="1">
      <x:alignment wrapText="1"/>
    </x:xf>
    <x:xf numFmtId="0" fontId="11" fillId="0" borderId="11" xfId="0" applyNumberFormat="1" applyFont="1" applyFill="1" applyBorder="1" applyAlignment="1">
      <x:alignment vertical="center" wrapText="1"/>
    </x:xf>
    <x:xf numFmtId="0" fontId="11" fillId="0" borderId="12" xfId="0" applyNumberFormat="1" applyFont="1" applyFill="1" applyBorder="1" applyAlignment="1">
      <x:alignment vertical="center" wrapText="1"/>
    </x:xf>
    <x:xf numFmtId="0" fontId="11" fillId="0" borderId="13" xfId="0" applyNumberFormat="1" applyFont="1" applyFill="1" applyBorder="1" applyAlignment="1">
      <x:alignment vertical="center" wrapText="1"/>
    </x:xf>
    <x:xf numFmtId="0" fontId="11" fillId="0" borderId="11" xfId="0" applyNumberFormat="1" applyFont="1" applyFill="1" applyBorder="1" applyAlignment="1">
      <x:alignment horizontal="center" vertical="center" wrapText="1"/>
    </x:xf>
    <x:xf numFmtId="0" fontId="11" fillId="0" borderId="12" xfId="0" applyNumberFormat="1" applyFont="1" applyFill="1" applyBorder="1" applyAlignment="1">
      <x:alignment horizontal="center" vertical="center" wrapText="1"/>
    </x:xf>
    <x:xf numFmtId="0" fontId="11" fillId="0" borderId="13" xfId="0" applyNumberFormat="1" applyFont="1" applyFill="1" applyBorder="1" applyAlignment="1">
      <x:alignment horizontal="center" vertical="center" wrapText="1"/>
    </x:xf>
    <x:xf numFmtId="200" fontId="11" fillId="0" borderId="11" xfId="0" applyNumberFormat="1" applyFont="1" applyFill="1" applyBorder="1" applyAlignment="1">
      <x:alignment horizontal="center" vertical="center" wrapText="1"/>
    </x:xf>
    <x:xf numFmtId="200" fontId="11" fillId="0" borderId="12" xfId="0" applyNumberFormat="1" applyFont="1" applyFill="1" applyBorder="1" applyAlignment="1">
      <x:alignment horizontal="center" vertical="center" wrapText="1"/>
    </x:xf>
    <x:xf numFmtId="200" fontId="11" fillId="0" borderId="13" xfId="0" applyNumberFormat="1" applyFont="1" applyFill="1" applyBorder="1" applyAlignment="1">
      <x:alignment horizontal="center" vertical="center" wrapText="1"/>
    </x:xf>
    <x:xf numFmtId="201" fontId="11" fillId="0" borderId="11" xfId="0" applyNumberFormat="1" applyFont="1" applyFill="1" applyBorder="1" applyAlignment="1">
      <x:alignment horizontal="center" vertical="center" wrapText="1"/>
    </x:xf>
    <x:xf numFmtId="201" fontId="11" fillId="0" borderId="12" xfId="0" applyNumberFormat="1" applyFont="1" applyFill="1" applyBorder="1" applyAlignment="1">
      <x:alignment horizontal="center" vertical="center" wrapText="1"/>
    </x:xf>
    <x:xf numFmtId="201" fontId="11" fillId="0" borderId="13" xfId="0" applyNumberFormat="1" applyFont="1" applyFill="1" applyBorder="1" applyAlignment="1">
      <x:alignment horizontal="center" vertical="center" wrapText="1"/>
    </x:xf>
    <x:xf numFmtId="0" fontId="6" fillId="2" borderId="14" xfId="0" applyNumberFormat="1" applyFont="1" applyFill="1" applyBorder="1"/>
    <x:xf numFmtId="0" fontId="6" fillId="2" borderId="14" xfId="0" applyNumberFormat="1" applyFont="1" applyFill="1" applyBorder="1" applyAlignment="1">
      <x:alignment horizontal="center"/>
    </x:xf>
    <x:xf numFmtId="0" fontId="6" fillId="2" borderId="14" xfId="0" applyNumberFormat="1" applyFont="1" applyFill="1" applyBorder="1" applyAlignment="1">
      <x:alignment horizontal="center" vertical="center"/>
    </x:xf>
    <x:xf numFmtId="0" fontId="11" fillId="0" borderId="14" xfId="0" applyNumberFormat="1" applyFont="1" applyFill="1" applyBorder="1"/>
    <x:xf numFmtId="0" fontId="11" fillId="0" borderId="14" xfId="0" applyNumberFormat="1" applyFont="1" applyFill="1" applyBorder="1" applyAlignment="1">
      <x:alignment wrapText="1"/>
    </x:xf>
    <x:xf numFmtId="0" fontId="11" fillId="0" borderId="14" xfId="0" applyNumberFormat="1" applyFont="1" applyFill="1" applyBorder="1" applyAlignment="1">
      <x:alignment horizontal="left" wrapText="1"/>
    </x:xf>
    <x:xf numFmtId="0" fontId="11" fillId="0" borderId="14" xfId="0" applyNumberFormat="1" applyFont="1" applyFill="1" applyBorder="1" applyAlignment="1">
      <x:alignment horizontal="left" vertical="top" wrapText="1"/>
    </x:xf>
    <x:xf numFmtId="0" fontId="11" fillId="4" borderId="14" xfId="0" applyNumberFormat="1" applyFont="1" applyFill="1" applyBorder="1" applyAlignment="1">
      <x:alignment horizontal="left" vertical="top" wrapText="1"/>
    </x:xf>
    <x:xf numFmtId="0" fontId="11" fillId="8" borderId="14" xfId="0" applyNumberFormat="1" applyFont="1" applyFill="1" applyBorder="1" applyAlignment="1">
      <x:alignment horizontal="left" vertical="top" wrapText="1"/>
    </x:xf>
    <x:xf numFmtId="0" fontId="11" fillId="9" borderId="14" xfId="0" applyNumberFormat="1" applyFont="1" applyFill="1" applyBorder="1" applyAlignment="1">
      <x:alignment horizontal="left" vertical="top" wrapText="1"/>
    </x:xf>
    <x:xf numFmtId="0" fontId="11" fillId="10" borderId="14" xfId="0" applyNumberFormat="1" applyFont="1" applyFill="1" applyBorder="1" applyAlignment="1">
      <x:alignment horizontal="left" vertical="top" wrapText="1"/>
    </x:xf>
    <x:xf numFmtId="0" fontId="11" fillId="11" borderId="14" xfId="0" applyNumberFormat="1" applyFont="1" applyFill="1" applyBorder="1" applyAlignment="1">
      <x:alignment horizontal="left" vertical="top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5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/>
    <x:xf numFmtId="0" fontId="4" fillId="2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vertical="center" wrapText="1"/>
    </x:xf>
    <x:xf numFmtId="0" fontId="6" fillId="2" borderId="15" xfId="0" applyNumberFormat="1" applyFont="1" applyFill="1" applyBorder="1" applyAlignment="1">
      <x:alignment horizontal="center"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87D2B"/>
      </x:font>
      <x:fill>
        <x:patternFill patternType="solid">
          <x:bgColor rgb="FFE9FBEF"/>
        </x:patternFill>
      </x:fill>
    </x:dxf>
    <x:dxf>
      <x:font>
        <x:b/>
        <x:color rgb="FF0B5BC4"/>
      </x:font>
      <x:fill>
        <x:patternFill patternType="solid">
          <x:bgColor rgb="FFEAF3FF"/>
        </x:patternFill>
      </x:fill>
    </x:dxf>
    <x:dxf>
      <x:font>
        <x:b/>
        <x:color rgb="FF7C3AED"/>
      </x:font>
      <x:fill>
        <x:patternFill patternType="solid">
          <x:bgColor rgb="FFF2ECFF"/>
        </x:patternFill>
      </x:fill>
    </x:dxf>
    <x:dxf>
      <x:font>
        <x:b/>
        <x:color rgb="FFDC2626"/>
      </x:font>
      <x:fill>
        <x:patternFill patternType="solid">
          <x:bgColor rgb="FFFDECEC"/>
        </x:patternFill>
      </x:fill>
    </x:dxf>
    <x:dxf>
      <x:font>
        <x:b/>
        <x:color rgb="FFA15C00"/>
      </x:font>
      <x:fill>
        <x:patternFill patternType="solid"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401135fd24c65" /><Relationship Type="http://schemas.openxmlformats.org/officeDocument/2006/relationships/theme" Target="/xl/theme/theme1.xml" Id="R24d7491d87cc486e" /><Relationship Type="http://schemas.openxmlformats.org/officeDocument/2006/relationships/sharedStrings" Target="/xl/sharedStrings.xml" Id="Rc83b6f3e207644f0" /><Relationship Type="http://schemas.openxmlformats.org/officeDocument/2006/relationships/worksheet" Target="/xl/worksheets/sheet1.xml" Id="R73437bcaef8d4c22" /><Relationship Type="http://schemas.openxmlformats.org/officeDocument/2006/relationships/worksheet" Target="/xl/worksheets/sheet2.xml" Id="Raa975d1c511e427b" /><Relationship Type="http://schemas.openxmlformats.org/officeDocument/2006/relationships/worksheet" Target="/xl/worksheets/sheet3.xml" Id="R3fd3c47986c74023" /><Relationship Type="http://schemas.openxmlformats.org/officeDocument/2006/relationships/worksheet" Target="/xl/worksheets/sheet4.xml" Id="R0de0fb14013d4c3f" /><Relationship Type="http://schemas.microsoft.com/office/2017/10/relationships/person" Target="/xl/persons/person.xml" Id="Rdfd29b70b07249d8" /></Relationships>
</file>

<file path=xl/persons/person.xml><?xml version="1.0" encoding="utf-8"?>
<xltc:personList xmlns:xltc="http://schemas.microsoft.com/office/spreadsheetml/2018/threadedcomments">
  <xltc:person displayName="김지창" id="{2CFC5878-C83E-47B3-B935-FC75F092ADCA}"/>
</xltc:personList>
</file>

<file path=xl/tables/table1.xml><?xml version="1.0" encoding="utf-8"?>
<x:table xmlns:x="http://schemas.openxmlformats.org/spreadsheetml/2006/main" id="1" name="VtuberDebutSchedule" displayName="VtuberDebutSchedule" ref="A8:L53" headerRowCount="1" totalsRowCount="0" totalsRowShown="0">
  <x:autoFilter ref="A8:L53"/>
  <x:tableColumns count="12">
    <x:tableColumn id="1" name="No."/>
    <x:tableColumn id="2" name="날짜"/>
    <x:tableColumn id="3" name="요일"/>
    <x:tableColumn id="4" name="시간"/>
    <x:tableColumn id="5" name="플랫폼"/>
    <x:tableColumn id="6" name="버튜버"/>
    <x:tableColumn id="7" name="일정 유형"/>
    <x:tableColumn id="8" name="일정 상태"/>
    <x:tableColumn id="9" name="소속·비고"/>
    <x:tableColumn id="10" name="출처 URL"/>
    <x:tableColumn id="11" name="시간 확인"/>
    <x:tableColumn id="12" name="등록 검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8" dT="2026-07-27T11:33:08.031" personId="{2CFC5878-C83E-47B3-B935-FC75F092ADCA}" id="{64644333-D010-085E-4B2E-10C577D9B3CA}">
    <xltc:text>각 일정의 공식 채널·당사자 SNS·플랫폼 공지 URL을 기록합니다. 방송 24시간 전에 변경 여부를 다시 확인하세요.</xltc:text>
  </xltc:threadedComment>
  <xltc:threadedComment ref="G8" dT="2026-07-27T11:33:08.032" personId="{2CFC5878-C83E-47B3-B935-FC75F092ADCA}" id="{A0623DB3-72DD-D607-44EF-E06BA5E4077A}">
    <xltc:text>최초 데뷔, 플랫폼 이적, 재데뷔, Live2D·3D 공개를 구분해 신규 버튜버 중복 집계를 방지합니다.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11642001a894115" /><Relationship Type="http://schemas.openxmlformats.org/officeDocument/2006/relationships/vmlDrawing" Target="/xl/drawings/vmldrawing.vml" Id="R8eca6483a0b44f27" /><Relationship Type="http://schemas.microsoft.com/office/2017/10/relationships/threadedComment" Target="/xl/threadedcomments/threadedcomment.xml" Id="R9c4ba6f7b03c495f" /><Relationship Type="http://schemas.openxmlformats.org/officeDocument/2006/relationships/table" Target="/xl/tables/table1.xml" Id="Rb940ccc710d941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7" hidden="0" customWidth="1"/>
    <x:col min="4" max="4" width="9" hidden="0" customWidth="1"/>
    <x:col min="5" max="5" width="10" hidden="0" customWidth="1"/>
    <x:col min="6" max="6" width="18" hidden="0" customWidth="1"/>
    <x:col min="7" max="7" width="16" hidden="0" customWidth="1"/>
    <x:col min="8" max="8" width="11" hidden="0" customWidth="1"/>
    <x:col min="9" max="9" width="31" hidden="0" customWidth="1"/>
    <x:col min="10" max="10" width="50" hidden="0" customWidth="1"/>
    <x:col min="11" max="11" width="15" hidden="0" customWidth="1"/>
    <x:col min="12" max="12" width="14" hidden="0" customWidth="1"/>
  </x:cols>
  <x:sheetData>
    <x:row r="1" ht="34" customHeight="1">
      <x:c r="A1" s="5" t="str">
        <x:v>버튜버 데뷔 일정 | 2026년 7월~8월</x:v>
      </x:c>
      <x:c r="B1" s="5" t="str">
        <x:v>버튜버 데뷔 일정 | 2026년 7월~8월</x:v>
      </x:c>
      <x:c r="C1" s="5" t="str">
        <x:v>버튜버 데뷔 일정 | 2026년 7월~8월</x:v>
      </x:c>
      <x:c r="D1" s="5" t="str">
        <x:v>버튜버 데뷔 일정 | 2026년 7월~8월</x:v>
      </x:c>
      <x:c r="E1" s="5" t="str">
        <x:v>버튜버 데뷔 일정 | 2026년 7월~8월</x:v>
      </x:c>
      <x:c r="F1" s="5" t="str">
        <x:v>버튜버 데뷔 일정 | 2026년 7월~8월</x:v>
      </x:c>
      <x:c r="G1" s="5" t="str">
        <x:v>버튜버 데뷔 일정 | 2026년 7월~8월</x:v>
      </x:c>
      <x:c r="H1" s="5" t="str">
        <x:v>버튜버 데뷔 일정 | 2026년 7월~8월</x:v>
      </x:c>
      <x:c r="I1" s="5" t="str">
        <x:v>버튜버 데뷔 일정 | 2026년 7월~8월</x:v>
      </x:c>
      <x:c r="J1" s="5" t="str">
        <x:v>버튜버 데뷔 일정 | 2026년 7월~8월</x:v>
      </x:c>
      <x:c r="K1" s="5" t="str">
        <x:v>버튜버 데뷔 일정 | 2026년 7월~8월</x:v>
      </x:c>
      <x:c r="L1" s="5" t="str">
        <x:v>버튜버 데뷔 일정 | 2026년 7월~8월</x:v>
      </x:c>
    </x:row>
    <x:row r="2" ht="26" customHeight="1">
      <x:c r="A2" s="8" t="str">
        <x:v>치지직·SOOP 공개 일정을 기준으로 작성한 1차 확인본입니다. 시간은 한국시간(KST)이며 방송 전 원문 재확인을 권장합니다.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14" t="str">
        <x:v>일정 상태 기준일</x:v>
      </x:c>
      <x:c r="B3" s="15" t="n">
        <x:v>46230</x:v>
      </x:c>
      <x:c r="C3" s="1"/>
      <x:c r="D3" s="1"/>
      <x:c r="E3" s="1"/>
      <x:c r="F3" s="1"/>
      <x:c r="G3" s="1"/>
      <x:c r="H3" s="1"/>
      <x:c r="I3" s="1"/>
      <x:c r="J3" s="17" t="str">
        <x:v>※ 기준일을 변경하면 ‘완료/당일/예정’이 자동 갱신됩니다.</x:v>
      </x:c>
      <x:c r="K3" s="17"/>
      <x:c r="L3" s="17"/>
    </x:row>
    <x:row r="4" ht="22" customHeight="1">
      <x:c r="A4" s="20" t="str">
        <x:v>전체 일정</x:v>
      </x:c>
      <x:c r="B4" s="20" t="str">
        <x:v>전체 일정</x:v>
      </x:c>
      <x:c r="C4" s="1"/>
      <x:c r="D4" s="31" t="str">
        <x:v>치지직</x:v>
      </x:c>
      <x:c r="E4" s="31" t="str">
        <x:v>치지직</x:v>
      </x:c>
      <x:c r="F4" s="1"/>
      <x:c r="G4" s="42" t="str">
        <x:v>SOOP</x:v>
      </x:c>
      <x:c r="H4" s="42" t="str">
        <x:v>SOOP</x:v>
      </x:c>
      <x:c r="I4" s="1"/>
      <x:c r="J4" s="53" t="str">
        <x:v>검토 필요</x:v>
      </x:c>
      <x:c r="K4" s="53" t="str">
        <x:v>검토 필요</x:v>
      </x:c>
      <x:c r="L4" s="53" t="str">
        <x:v>검토 필요</x:v>
      </x:c>
    </x:row>
    <x:row r="5" ht="30" customHeight="1">
      <x:c r="A5" s="26" t="n">
        <x:f>COUNTA($F$9:$F$200)</x:f>
        <x:v>45</x:v>
      </x:c>
      <x:c r="B5" s="27"/>
      <x:c r="C5" s="1"/>
      <x:c r="D5" s="37" t="n">
        <x:f>COUNTIF($E$9:$E$200,"치지직")</x:f>
        <x:v>23</x:v>
      </x:c>
      <x:c r="E5" s="38"/>
      <x:c r="F5" s="1"/>
      <x:c r="G5" s="48" t="n">
        <x:f>COUNTIF($E$9:$E$200,"SOOP")</x:f>
        <x:v>22</x:v>
      </x:c>
      <x:c r="H5" s="49"/>
      <x:c r="I5" s="1"/>
      <x:c r="J5" s="61" t="n">
        <x:f>COUNTIF($L$9:$L$200,"검토 필요")</x:f>
        <x:v>7</x:v>
      </x:c>
      <x:c r="K5" s="62"/>
      <x:c r="L5" s="63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8" customHeight="1">
      <x:c r="A8" s="73" t="str">
        <x:v>No.</x:v>
      </x:c>
      <x:c r="B8" s="74" t="str">
        <x:v>날짜</x:v>
      </x:c>
      <x:c r="C8" s="74" t="str">
        <x:v>요일</x:v>
      </x:c>
      <x:c r="D8" s="74" t="str">
        <x:v>시간</x:v>
      </x:c>
      <x:c r="E8" s="74" t="str">
        <x:v>플랫폼</x:v>
      </x:c>
      <x:c r="F8" s="74" t="str">
        <x:v>버튜버</x:v>
      </x:c>
      <x:c r="G8" s="74" t="str">
        <x:v>일정 유형</x:v>
      </x:c>
      <x:c r="H8" s="74" t="str">
        <x:v>일정 상태</x:v>
      </x:c>
      <x:c r="I8" s="74" t="str">
        <x:v>소속·비고</x:v>
      </x:c>
      <x:c r="J8" s="74" t="str">
        <x:v>출처 URL</x:v>
      </x:c>
      <x:c r="K8" s="74" t="str">
        <x:v>시간 확인</x:v>
      </x:c>
      <x:c r="L8" s="75" t="str">
        <x:v>등록 검토</x:v>
      </x:c>
    </x:row>
    <x:row r="9" ht="34" customHeight="1">
      <x:c r="A9" s="86" t="n">
        <x:v>1</x:v>
      </x:c>
      <x:c r="B9" s="89" t="n">
        <x:v>46204</x:v>
      </x:c>
      <x:c r="C9" s="86" t="str">
        <x:f>CHOOSE(WEEKDAY(B9,2),"월","화","수","목","금","토","일")</x:f>
        <x:v>수</x:v>
      </x:c>
      <x:c r="D9" s="92"/>
      <x:c r="E9" s="86" t="str">
        <x:v>SOOP</x:v>
      </x:c>
      <x:c r="F9" s="86" t="str">
        <x:v>아롱띠</x:v>
      </x:c>
      <x:c r="G9" s="86" t="str">
        <x:v>최초 데뷔</x:v>
      </x:c>
      <x:c r="H9" s="86" t="str">
        <x:f>IF(B9&lt;$B$3,"완료",IF(B9=$B$3,"당일","예정"))</x:f>
        <x:v>완료</x:v>
      </x:c>
      <x:c r="I9" s="83" t="str">
        <x:v>웰컴버추얼</x:v>
      </x:c>
      <x:c r="J9" s="83" t="str">
        <x:v>https://www.sooplive.co.kr/station/memo/a0714/post/166790429</x:v>
      </x:c>
      <x:c r="K9" s="86" t="str">
        <x:v>미공지</x:v>
      </x:c>
      <x:c r="L9" s="86" t="str">
        <x:f>IF(OR(K9="미공지",K9="재확인 필요"),"검토 필요","등록 가능")</x:f>
        <x:v>검토 필요</x:v>
      </x:c>
    </x:row>
    <x:row r="10" ht="34" customHeight="1">
      <x:c r="A10" s="87" t="n">
        <x:v>2</x:v>
      </x:c>
      <x:c r="B10" s="90" t="n">
        <x:v>46205</x:v>
      </x:c>
      <x:c r="C10" s="87" t="str">
        <x:f>CHOOSE(WEEKDAY(B10,2),"월","화","수","목","금","토","일")</x:f>
        <x:v>목</x:v>
      </x:c>
      <x:c r="D10" s="93" t="n">
        <x:v>0.8333333333333334</x:v>
      </x:c>
      <x:c r="E10" s="87" t="str">
        <x:v>SOOP</x:v>
      </x:c>
      <x:c r="F10" s="87" t="str">
        <x:v>헤티</x:v>
      </x:c>
      <x:c r="G10" s="87" t="str">
        <x:v>최초 데뷔</x:v>
      </x:c>
      <x:c r="H10" s="87" t="str">
        <x:f>IF(B10&lt;$B$3,"완료",IF(B10=$B$3,"당일","예정"))</x:f>
        <x:v>완료</x:v>
      </x:c>
      <x:c r="I10" s="84" t="str">
        <x:v>데뷔 방송</x:v>
      </x:c>
      <x:c r="J10" s="84" t="str">
        <x:v>https://www.sooplive.co.kr/station/memo/bps1017/post/166829897</x:v>
      </x:c>
      <x:c r="K10" s="87" t="str">
        <x:v>확인</x:v>
      </x:c>
      <x:c r="L10" s="87" t="str">
        <x:f>IF(OR(K10="미공지",K10="재확인 필요"),"검토 필요","등록 가능")</x:f>
        <x:v>등록 가능</x:v>
      </x:c>
    </x:row>
    <x:row r="11" ht="34" customHeight="1">
      <x:c r="A11" s="87" t="n">
        <x:v>3</x:v>
      </x:c>
      <x:c r="B11" s="90" t="n">
        <x:v>46206</x:v>
      </x:c>
      <x:c r="C11" s="87" t="str">
        <x:f>CHOOSE(WEEKDAY(B11,2),"월","화","수","목","금","토","일")</x:f>
        <x:v>금</x:v>
      </x:c>
      <x:c r="D11" s="93" t="n">
        <x:v>0.5833333333333334</x:v>
      </x:c>
      <x:c r="E11" s="87" t="str">
        <x:v>SOOP</x:v>
      </x:c>
      <x:c r="F11" s="87" t="str">
        <x:v>마테</x:v>
      </x:c>
      <x:c r="G11" s="87" t="str">
        <x:v>최초 데뷔</x:v>
      </x:c>
      <x:c r="H11" s="87" t="str">
        <x:f>IF(B11&lt;$B$3,"완료",IF(B11=$B$3,"당일","예정"))</x:f>
        <x:v>완료</x:v>
      </x:c>
      <x:c r="I11" s="84" t="str">
        <x:v>데뷔 방송</x:v>
      </x:c>
      <x:c r="J11" s="84" t="str">
        <x:v>https://www.sooplive.co.kr/station/mate4077</x:v>
      </x:c>
      <x:c r="K11" s="87" t="str">
        <x:v>확인</x:v>
      </x:c>
      <x:c r="L11" s="87" t="str">
        <x:f>IF(OR(K11="미공지",K11="재확인 필요"),"검토 필요","등록 가능")</x:f>
        <x:v>등록 가능</x:v>
      </x:c>
    </x:row>
    <x:row r="12" ht="34" customHeight="1">
      <x:c r="A12" s="87" t="n">
        <x:v>4</x:v>
      </x:c>
      <x:c r="B12" s="90" t="n">
        <x:v>46207</x:v>
      </x:c>
      <x:c r="C12" s="87" t="str">
        <x:f>CHOOSE(WEEKDAY(B12,2),"월","화","수","목","금","토","일")</x:f>
        <x:v>토</x:v>
      </x:c>
      <x:c r="D12" s="93" t="n">
        <x:v>0.7083333333333334</x:v>
      </x:c>
      <x:c r="E12" s="87" t="str">
        <x:v>SOOP</x:v>
      </x:c>
      <x:c r="F12" s="87" t="str">
        <x:v>담하로</x:v>
      </x:c>
      <x:c r="G12" s="87" t="str">
        <x:v>최초 데뷔</x:v>
      </x:c>
      <x:c r="H12" s="87" t="str">
        <x:f>IF(B12&lt;$B$3,"완료",IF(B12=$B$3,"당일","예정"))</x:f>
        <x:v>완료</x:v>
      </x:c>
      <x:c r="I12" s="84" t="str">
        <x:v>데뷔 방송</x:v>
      </x:c>
      <x:c r="J12" s="84" t="str">
        <x:v>https://www.sooplive.co.kr/station/memo/harobangil/post/166904326</x:v>
      </x:c>
      <x:c r="K12" s="87" t="str">
        <x:v>확인</x:v>
      </x:c>
      <x:c r="L12" s="87" t="str">
        <x:f>IF(OR(K12="미공지",K12="재확인 필요"),"검토 필요","등록 가능")</x:f>
        <x:v>등록 가능</x:v>
      </x:c>
    </x:row>
    <x:row r="13" ht="34" customHeight="1">
      <x:c r="A13" s="87" t="n">
        <x:v>5</x:v>
      </x:c>
      <x:c r="B13" s="90" t="n">
        <x:v>46207</x:v>
      </x:c>
      <x:c r="C13" s="87" t="str">
        <x:f>CHOOSE(WEEKDAY(B13,2),"월","화","수","목","금","토","일")</x:f>
        <x:v>토</x:v>
      </x:c>
      <x:c r="D13" s="93" t="n">
        <x:v>0.7916666666666666</x:v>
      </x:c>
      <x:c r="E13" s="87" t="str">
        <x:v>치지직</x:v>
      </x:c>
      <x:c r="F13" s="87" t="str">
        <x:v>바쿠</x:v>
      </x:c>
      <x:c r="G13" s="87" t="str">
        <x:v>최초 데뷔</x:v>
      </x:c>
      <x:c r="H13" s="87" t="str">
        <x:f>IF(B13&lt;$B$3,"완료",IF(B13=$B$3,"당일","예정"))</x:f>
        <x:v>완료</x:v>
      </x:c>
      <x:c r="I13" s="84" t="str"/>
      <x:c r="J13" s="84" t="str">
        <x:v>https://x.com/orbitaofbehind</x:v>
      </x:c>
      <x:c r="K13" s="87" t="str">
        <x:v>확인</x:v>
      </x:c>
      <x:c r="L13" s="87" t="str">
        <x:f>IF(OR(K13="미공지",K13="재확인 필요"),"검토 필요","등록 가능")</x:f>
        <x:v>등록 가능</x:v>
      </x:c>
    </x:row>
    <x:row r="14" ht="34" customHeight="1">
      <x:c r="A14" s="87" t="n">
        <x:v>6</x:v>
      </x:c>
      <x:c r="B14" s="90" t="n">
        <x:v>46209</x:v>
      </x:c>
      <x:c r="C14" s="87" t="str">
        <x:f>CHOOSE(WEEKDAY(B14,2),"월","화","수","목","금","토","일")</x:f>
        <x:v>월</x:v>
      </x:c>
      <x:c r="D14" s="93"/>
      <x:c r="E14" s="87" t="str">
        <x:v>SOOP</x:v>
      </x:c>
      <x:c r="F14" s="87" t="str">
        <x:v>드라</x:v>
      </x:c>
      <x:c r="G14" s="87" t="str">
        <x:v>최초 데뷔</x:v>
      </x:c>
      <x:c r="H14" s="87" t="str">
        <x:f>IF(B14&lt;$B$3,"완료",IF(B14=$B$3,"당일","예정"))</x:f>
        <x:v>완료</x:v>
      </x:c>
      <x:c r="I14" s="84" t="str">
        <x:v>웰컴버추얼</x:v>
      </x:c>
      <x:c r="J14" s="84" t="str">
        <x:v>https://www.sooplive.co.kr/station/memo/dragonrabbit/post/166992056</x:v>
      </x:c>
      <x:c r="K14" s="87" t="str">
        <x:v>미공지</x:v>
      </x:c>
      <x:c r="L14" s="87" t="str">
        <x:f>IF(OR(K14="미공지",K14="재확인 필요"),"검토 필요","등록 가능")</x:f>
        <x:v>검토 필요</x:v>
      </x:c>
    </x:row>
    <x:row r="15" ht="34" customHeight="1">
      <x:c r="A15" s="87" t="n">
        <x:v>7</x:v>
      </x:c>
      <x:c r="B15" s="90" t="n">
        <x:v>46210</x:v>
      </x:c>
      <x:c r="C15" s="87" t="str">
        <x:f>CHOOSE(WEEKDAY(B15,2),"월","화","수","목","금","토","일")</x:f>
        <x:v>화</x:v>
      </x:c>
      <x:c r="D15" s="93" t="n">
        <x:v>0.8333333333333334</x:v>
      </x:c>
      <x:c r="E15" s="87" t="str">
        <x:v>치지직</x:v>
      </x:c>
      <x:c r="F15" s="87" t="str">
        <x:v>토척새</x:v>
      </x:c>
      <x:c r="G15" s="87" t="str">
        <x:v>최초 데뷔</x:v>
      </x:c>
      <x:c r="H15" s="87" t="str">
        <x:f>IF(B15&lt;$B$3,"완료",IF(B15=$B$3,"당일","예정"))</x:f>
        <x:v>완료</x:v>
      </x:c>
      <x:c r="I15" s="84" t="str"/>
      <x:c r="J15" s="84" t="str">
        <x:v>https://x.com/TPRPWHDAKF/status/2068694382371537052</x:v>
      </x:c>
      <x:c r="K15" s="87" t="str">
        <x:v>확인</x:v>
      </x:c>
      <x:c r="L15" s="87" t="str">
        <x:f>IF(OR(K15="미공지",K15="재확인 필요"),"검토 필요","등록 가능")</x:f>
        <x:v>등록 가능</x:v>
      </x:c>
    </x:row>
    <x:row r="16" ht="34" customHeight="1">
      <x:c r="A16" s="87" t="n">
        <x:v>8</x:v>
      </x:c>
      <x:c r="B16" s="90" t="n">
        <x:v>46211</x:v>
      </x:c>
      <x:c r="C16" s="87" t="str">
        <x:f>CHOOSE(WEEKDAY(B16,2),"월","화","수","목","금","토","일")</x:f>
        <x:v>수</x:v>
      </x:c>
      <x:c r="D16" s="93" t="n">
        <x:v>0.75</x:v>
      </x:c>
      <x:c r="E16" s="87" t="str">
        <x:v>SOOP</x:v>
      </x:c>
      <x:c r="F16" s="87" t="str">
        <x:v>백새린</x:v>
      </x:c>
      <x:c r="G16" s="87" t="str">
        <x:v>최초 데뷔</x:v>
      </x:c>
      <x:c r="H16" s="87" t="str">
        <x:f>IF(B16&lt;$B$3,"완료",IF(B16=$B$3,"당일","예정"))</x:f>
        <x:v>완료</x:v>
      </x:c>
      <x:c r="I16" s="84" t="str">
        <x:v>데뷔 방송</x:v>
      </x:c>
      <x:c r="J16" s="84" t="str">
        <x:v>https://www.sooplive.co.kr/station/memo/soren9900/post/167082005</x:v>
      </x:c>
      <x:c r="K16" s="87" t="str">
        <x:v>확인</x:v>
      </x:c>
      <x:c r="L16" s="87" t="str">
        <x:f>IF(OR(K16="미공지",K16="재확인 필요"),"검토 필요","등록 가능")</x:f>
        <x:v>등록 가능</x:v>
      </x:c>
    </x:row>
    <x:row r="17" ht="34" customHeight="1">
      <x:c r="A17" s="87" t="n">
        <x:v>9</x:v>
      </x:c>
      <x:c r="B17" s="90" t="n">
        <x:v>46212</x:v>
      </x:c>
      <x:c r="C17" s="87" t="str">
        <x:f>CHOOSE(WEEKDAY(B17,2),"월","화","수","목","금","토","일")</x:f>
        <x:v>목</x:v>
      </x:c>
      <x:c r="D17" s="93" t="n">
        <x:v>0.4583333333333333</x:v>
      </x:c>
      <x:c r="E17" s="87" t="str">
        <x:v>SOOP</x:v>
      </x:c>
      <x:c r="F17" s="87" t="str">
        <x:v>소람</x:v>
      </x:c>
      <x:c r="G17" s="87" t="str">
        <x:v>최초 데뷔</x:v>
      </x:c>
      <x:c r="H17" s="87" t="str">
        <x:f>IF(B17&lt;$B$3,"완료",IF(B17=$B$3,"당일","예정"))</x:f>
        <x:v>완료</x:v>
      </x:c>
      <x:c r="I17" s="84" t="str">
        <x:v>데뷔 방송</x:v>
      </x:c>
      <x:c r="J17" s="84" t="str">
        <x:v>https://www.sooplive.co.kr/station/memo/soramsoram/post/167115947</x:v>
      </x:c>
      <x:c r="K17" s="87" t="str">
        <x:v>확인</x:v>
      </x:c>
      <x:c r="L17" s="87" t="str">
        <x:f>IF(OR(K17="미공지",K17="재확인 필요"),"검토 필요","등록 가능")</x:f>
        <x:v>등록 가능</x:v>
      </x:c>
    </x:row>
    <x:row r="18" ht="34" customHeight="1">
      <x:c r="A18" s="87" t="n">
        <x:v>10</x:v>
      </x:c>
      <x:c r="B18" s="90" t="n">
        <x:v>46214</x:v>
      </x:c>
      <x:c r="C18" s="87" t="str">
        <x:f>CHOOSE(WEEKDAY(B18,2),"월","화","수","목","금","토","일")</x:f>
        <x:v>토</x:v>
      </x:c>
      <x:c r="D18" s="93" t="n">
        <x:v>0.7916666666666666</x:v>
      </x:c>
      <x:c r="E18" s="87" t="str">
        <x:v>치지직</x:v>
      </x:c>
      <x:c r="F18" s="87" t="str">
        <x:v>슈요</x:v>
      </x:c>
      <x:c r="G18" s="87" t="str">
        <x:v>최초 데뷔</x:v>
      </x:c>
      <x:c r="H18" s="87" t="str">
        <x:f>IF(B18&lt;$B$3,"완료",IF(B18=$B$3,"당일","예정"))</x:f>
        <x:v>완료</x:v>
      </x:c>
      <x:c r="I18" s="84" t="str"/>
      <x:c r="J18" s="84" t="str">
        <x:v>https://x.com/shuyo_chzzk/status/2071867582341104076</x:v>
      </x:c>
      <x:c r="K18" s="87" t="str">
        <x:v>확인</x:v>
      </x:c>
      <x:c r="L18" s="87" t="str">
        <x:f>IF(OR(K18="미공지",K18="재확인 필요"),"검토 필요","등록 가능")</x:f>
        <x:v>등록 가능</x:v>
      </x:c>
    </x:row>
    <x:row r="19" ht="34" customHeight="1">
      <x:c r="A19" s="87" t="n">
        <x:v>11</x:v>
      </x:c>
      <x:c r="B19" s="90" t="n">
        <x:v>46215</x:v>
      </x:c>
      <x:c r="C19" s="87" t="str">
        <x:f>CHOOSE(WEEKDAY(B19,2),"월","화","수","목","금","토","일")</x:f>
        <x:v>일</x:v>
      </x:c>
      <x:c r="D19" s="93" t="n">
        <x:v>0.5833333333333334</x:v>
      </x:c>
      <x:c r="E19" s="87" t="str">
        <x:v>SOOP</x:v>
      </x:c>
      <x:c r="F19" s="87" t="str">
        <x:v>해콩</x:v>
      </x:c>
      <x:c r="G19" s="87" t="str">
        <x:v>최초 데뷔</x:v>
      </x:c>
      <x:c r="H19" s="87" t="str">
        <x:f>IF(B19&lt;$B$3,"완료",IF(B19=$B$3,"당일","예정"))</x:f>
        <x:v>완료</x:v>
      </x:c>
      <x:c r="I19" s="84" t="str">
        <x:v>데뷔 방송</x:v>
      </x:c>
      <x:c r="J19" s="84" t="str">
        <x:v>https://www.sooplive.co.kr/station/memo/haekong2/post/167250331</x:v>
      </x:c>
      <x:c r="K19" s="87" t="str">
        <x:v>확인</x:v>
      </x:c>
      <x:c r="L19" s="87" t="str">
        <x:f>IF(OR(K19="미공지",K19="재확인 필요"),"검토 필요","등록 가능")</x:f>
        <x:v>등록 가능</x:v>
      </x:c>
    </x:row>
    <x:row r="20" ht="34" customHeight="1">
      <x:c r="A20" s="87" t="n">
        <x:v>12</x:v>
      </x:c>
      <x:c r="B20" s="90" t="n">
        <x:v>46215</x:v>
      </x:c>
      <x:c r="C20" s="87" t="str">
        <x:f>CHOOSE(WEEKDAY(B20,2),"월","화","수","목","금","토","일")</x:f>
        <x:v>일</x:v>
      </x:c>
      <x:c r="D20" s="93" t="n">
        <x:v>0.7083333333333334</x:v>
      </x:c>
      <x:c r="E20" s="87" t="str">
        <x:v>치지직</x:v>
      </x:c>
      <x:c r="F20" s="87" t="str">
        <x:v>김밍령</x:v>
      </x:c>
      <x:c r="G20" s="87" t="str">
        <x:v>최초 데뷔</x:v>
      </x:c>
      <x:c r="H20" s="87" t="str">
        <x:f>IF(B20&lt;$B$3,"완료",IF(B20=$B$3,"당일","예정"))</x:f>
        <x:v>완료</x:v>
      </x:c>
      <x:c r="I20" s="84" t="str"/>
      <x:c r="J20" s="84" t="str">
        <x:v>https://chzzk.naver.com/video/14105462</x:v>
      </x:c>
      <x:c r="K20" s="87" t="str">
        <x:v>확인</x:v>
      </x:c>
      <x:c r="L20" s="87" t="str">
        <x:f>IF(OR(K20="미공지",K20="재확인 필요"),"검토 필요","등록 가능")</x:f>
        <x:v>등록 가능</x:v>
      </x:c>
    </x:row>
    <x:row r="21" ht="34" customHeight="1">
      <x:c r="A21" s="87" t="n">
        <x:v>13</x:v>
      </x:c>
      <x:c r="B21" s="90" t="n">
        <x:v>46218</x:v>
      </x:c>
      <x:c r="C21" s="87" t="str">
        <x:f>CHOOSE(WEEKDAY(B21,2),"월","화","수","목","금","토","일")</x:f>
        <x:v>수</x:v>
      </x:c>
      <x:c r="D21" s="93" t="n">
        <x:v>0.8333333333333334</x:v>
      </x:c>
      <x:c r="E21" s="87" t="str">
        <x:v>SOOP</x:v>
      </x:c>
      <x:c r="F21" s="87" t="str">
        <x:v>별뭉치</x:v>
      </x:c>
      <x:c r="G21" s="87" t="str">
        <x:v>최초 데뷔</x:v>
      </x:c>
      <x:c r="H21" s="87" t="str">
        <x:f>IF(B21&lt;$B$3,"완료",IF(B21=$B$3,"당일","예정"))</x:f>
        <x:v>완료</x:v>
      </x:c>
      <x:c r="I21" s="84" t="str">
        <x:v>데뷔 방송</x:v>
      </x:c>
      <x:c r="J21" s="84" t="str">
        <x:v>https://www.sooplive.co.kr/station/memo/jamstar/post/167385933</x:v>
      </x:c>
      <x:c r="K21" s="87" t="str">
        <x:v>확인</x:v>
      </x:c>
      <x:c r="L21" s="87" t="str">
        <x:f>IF(OR(K21="미공지",K21="재확인 필요"),"검토 필요","등록 가능")</x:f>
        <x:v>등록 가능</x:v>
      </x:c>
    </x:row>
    <x:row r="22" ht="34" customHeight="1">
      <x:c r="A22" s="87" t="n">
        <x:v>14</x:v>
      </x:c>
      <x:c r="B22" s="90" t="n">
        <x:v>46220</x:v>
      </x:c>
      <x:c r="C22" s="87" t="str">
        <x:f>CHOOSE(WEEKDAY(B22,2),"월","화","수","목","금","토","일")</x:f>
        <x:v>금</x:v>
      </x:c>
      <x:c r="D22" s="93" t="n">
        <x:v>0.5416666666666666</x:v>
      </x:c>
      <x:c r="E22" s="87" t="str">
        <x:v>치지직</x:v>
      </x:c>
      <x:c r="F22" s="87" t="str">
        <x:v>모모메이 유메</x:v>
      </x:c>
      <x:c r="G22" s="87" t="str">
        <x:v>최초 데뷔</x:v>
      </x:c>
      <x:c r="H22" s="87" t="str">
        <x:f>IF(B22&lt;$B$3,"완료",IF(B22=$B$3,"당일","예정"))</x:f>
        <x:v>완료</x:v>
      </x:c>
      <x:c r="I22" s="84" t="str">
        <x:v>오르비웨이 아스테아</x:v>
      </x:c>
      <x:c r="J22" s="84" t="str">
        <x:v>https://x.com/orbiway_ent/status/2071098629188948360</x:v>
      </x:c>
      <x:c r="K22" s="87" t="str">
        <x:v>확인</x:v>
      </x:c>
      <x:c r="L22" s="87" t="str">
        <x:f>IF(OR(K22="미공지",K22="재확인 필요"),"검토 필요","등록 가능")</x:f>
        <x:v>등록 가능</x:v>
      </x:c>
    </x:row>
    <x:row r="23" ht="34" customHeight="1">
      <x:c r="A23" s="87" t="n">
        <x:v>15</x:v>
      </x:c>
      <x:c r="B23" s="90" t="n">
        <x:v>46220</x:v>
      </x:c>
      <x:c r="C23" s="87" t="str">
        <x:f>CHOOSE(WEEKDAY(B23,2),"월","화","수","목","금","토","일")</x:f>
        <x:v>금</x:v>
      </x:c>
      <x:c r="D23" s="93" t="n">
        <x:v>0.5833333333333334</x:v>
      </x:c>
      <x:c r="E23" s="87" t="str">
        <x:v>치지직</x:v>
      </x:c>
      <x:c r="F23" s="87" t="str">
        <x:v>코오모리 히키</x:v>
      </x:c>
      <x:c r="G23" s="87" t="str">
        <x:v>최초 데뷔</x:v>
      </x:c>
      <x:c r="H23" s="87" t="str">
        <x:f>IF(B23&lt;$B$3,"완료",IF(B23=$B$3,"당일","예정"))</x:f>
        <x:v>완료</x:v>
      </x:c>
      <x:c r="I23" s="84" t="str">
        <x:v>오르비웨이 아스테아</x:v>
      </x:c>
      <x:c r="J23" s="84" t="str">
        <x:v>https://x.com/orbiway_ent/status/2071098629188948360</x:v>
      </x:c>
      <x:c r="K23" s="87" t="str">
        <x:v>확인</x:v>
      </x:c>
      <x:c r="L23" s="87" t="str">
        <x:f>IF(OR(K23="미공지",K23="재확인 필요"),"검토 필요","등록 가능")</x:f>
        <x:v>등록 가능</x:v>
      </x:c>
    </x:row>
    <x:row r="24" ht="34" customHeight="1">
      <x:c r="A24" s="87" t="n">
        <x:v>16</x:v>
      </x:c>
      <x:c r="B24" s="90" t="n">
        <x:v>46220</x:v>
      </x:c>
      <x:c r="C24" s="87" t="str">
        <x:f>CHOOSE(WEEKDAY(B24,2),"월","화","수","목","금","토","일")</x:f>
        <x:v>금</x:v>
      </x:c>
      <x:c r="D24" s="93" t="n">
        <x:v>0.625</x:v>
      </x:c>
      <x:c r="E24" s="87" t="str">
        <x:v>치지직</x:v>
      </x:c>
      <x:c r="F24" s="87" t="str">
        <x:v>마호노 레비</x:v>
      </x:c>
      <x:c r="G24" s="87" t="str">
        <x:v>최초 데뷔</x:v>
      </x:c>
      <x:c r="H24" s="87" t="str">
        <x:f>IF(B24&lt;$B$3,"완료",IF(B24=$B$3,"당일","예정"))</x:f>
        <x:v>완료</x:v>
      </x:c>
      <x:c r="I24" s="84" t="str">
        <x:v>오르비웨이 아스테아</x:v>
      </x:c>
      <x:c r="J24" s="84" t="str">
        <x:v>https://x.com/orbiway_ent/status/2071098629188948360</x:v>
      </x:c>
      <x:c r="K24" s="87" t="str">
        <x:v>확인</x:v>
      </x:c>
      <x:c r="L24" s="87" t="str">
        <x:f>IF(OR(K24="미공지",K24="재확인 필요"),"검토 필요","등록 가능")</x:f>
        <x:v>등록 가능</x:v>
      </x:c>
    </x:row>
    <x:row r="25" ht="34" customHeight="1">
      <x:c r="A25" s="87" t="n">
        <x:v>17</x:v>
      </x:c>
      <x:c r="B25" s="90" t="n">
        <x:v>46221</x:v>
      </x:c>
      <x:c r="C25" s="87" t="str">
        <x:f>CHOOSE(WEEKDAY(B25,2),"월","화","수","목","금","토","일")</x:f>
        <x:v>토</x:v>
      </x:c>
      <x:c r="D25" s="93"/>
      <x:c r="E25" s="87" t="str">
        <x:v>치지직</x:v>
      </x:c>
      <x:c r="F25" s="87" t="str">
        <x:v>이치호시 소라</x:v>
      </x:c>
      <x:c r="G25" s="87" t="str">
        <x:v>최초 데뷔</x:v>
      </x:c>
      <x:c r="H25" s="87" t="str">
        <x:f>IF(B25&lt;$B$3,"완료",IF(B25=$B$3,"당일","예정"))</x:f>
        <x:v>완료</x:v>
      </x:c>
      <x:c r="I25" s="84" t="str"/>
      <x:c r="J25" s="84" t="str">
        <x:v>https://chzzk.naver.com/4f3e9a13356fbff9fb3a82987c85971c/videos</x:v>
      </x:c>
      <x:c r="K25" s="87" t="str">
        <x:v>미공지</x:v>
      </x:c>
      <x:c r="L25" s="87" t="str">
        <x:f>IF(OR(K25="미공지",K25="재확인 필요"),"검토 필요","등록 가능")</x:f>
        <x:v>검토 필요</x:v>
      </x:c>
    </x:row>
    <x:row r="26" ht="34" customHeight="1">
      <x:c r="A26" s="87" t="n">
        <x:v>18</x:v>
      </x:c>
      <x:c r="B26" s="90" t="n">
        <x:v>46222</x:v>
      </x:c>
      <x:c r="C26" s="87" t="str">
        <x:f>CHOOSE(WEEKDAY(B26,2),"월","화","수","목","금","토","일")</x:f>
        <x:v>일</x:v>
      </x:c>
      <x:c r="D26" s="93" t="n">
        <x:v>0.7916666666666666</x:v>
      </x:c>
      <x:c r="E26" s="87" t="str">
        <x:v>치지직</x:v>
      </x:c>
      <x:c r="F26" s="87" t="str">
        <x:v>독키조</x:v>
      </x:c>
      <x:c r="G26" s="87" t="str">
        <x:v>최초 데뷔</x:v>
      </x:c>
      <x:c r="H26" s="87" t="str">
        <x:f>IF(B26&lt;$B$3,"완료",IF(B26=$B$3,"당일","예정"))</x:f>
        <x:v>완료</x:v>
      </x:c>
      <x:c r="I26" s="84" t="str"/>
      <x:c r="J26" s="84" t="str">
        <x:v>https://www.youtube.com/shorts/3dGP68wFglc</x:v>
      </x:c>
      <x:c r="K26" s="87" t="str">
        <x:v>확인</x:v>
      </x:c>
      <x:c r="L26" s="87" t="str">
        <x:f>IF(OR(K26="미공지",K26="재확인 필요"),"검토 필요","등록 가능")</x:f>
        <x:v>등록 가능</x:v>
      </x:c>
    </x:row>
    <x:row r="27" ht="34" customHeight="1">
      <x:c r="A27" s="87" t="n">
        <x:v>19</x:v>
      </x:c>
      <x:c r="B27" s="90" t="n">
        <x:v>46223</x:v>
      </x:c>
      <x:c r="C27" s="87" t="str">
        <x:f>CHOOSE(WEEKDAY(B27,2),"월","화","수","목","금","토","일")</x:f>
        <x:v>월</x:v>
      </x:c>
      <x:c r="D27" s="93" t="n">
        <x:v>0.8333333333333334</x:v>
      </x:c>
      <x:c r="E27" s="87" t="str">
        <x:v>SOOP</x:v>
      </x:c>
      <x:c r="F27" s="87" t="str">
        <x:v>헤즈</x:v>
      </x:c>
      <x:c r="G27" s="87" t="str">
        <x:v>최초 데뷔</x:v>
      </x:c>
      <x:c r="H27" s="87" t="str">
        <x:f>IF(B27&lt;$B$3,"완료",IF(B27=$B$3,"당일","예정"))</x:f>
        <x:v>완료</x:v>
      </x:c>
      <x:c r="I27" s="84" t="str">
        <x:v>데뷔 방송</x:v>
      </x:c>
      <x:c r="J27" s="84" t="str">
        <x:v>https://www.sooplive.co.kr/station/memo/haez_0526/post/167603903</x:v>
      </x:c>
      <x:c r="K27" s="87" t="str">
        <x:v>확인</x:v>
      </x:c>
      <x:c r="L27" s="87" t="str">
        <x:f>IF(OR(K27="미공지",K27="재확인 필요"),"검토 필요","등록 가능")</x:f>
        <x:v>등록 가능</x:v>
      </x:c>
    </x:row>
    <x:row r="28" ht="34" customHeight="1">
      <x:c r="A28" s="87" t="n">
        <x:v>20</x:v>
      </x:c>
      <x:c r="B28" s="90" t="n">
        <x:v>46226</x:v>
      </x:c>
      <x:c r="C28" s="87" t="str">
        <x:f>CHOOSE(WEEKDAY(B28,2),"월","화","수","목","금","토","일")</x:f>
        <x:v>목</x:v>
      </x:c>
      <x:c r="D28" s="93" t="n">
        <x:v>0.5833333333333334</x:v>
      </x:c>
      <x:c r="E28" s="87" t="str">
        <x:v>치지직</x:v>
      </x:c>
      <x:c r="F28" s="87" t="str">
        <x:v>에루 솔스티스</x:v>
      </x:c>
      <x:c r="G28" s="87" t="str">
        <x:v>최초 데뷔</x:v>
      </x:c>
      <x:c r="H28" s="87" t="str">
        <x:f>IF(B28&lt;$B$3,"완료",IF(B28=$B$3,"당일","예정"))</x:f>
        <x:v>완료</x:v>
      </x:c>
      <x:c r="I28" s="84" t="str">
        <x:v>시간 변경 반영</x:v>
      </x:c>
      <x:c r="J28" s="84" t="str">
        <x:v>https://x.com/TWILLIT_studio_/with_replies</x:v>
      </x:c>
      <x:c r="K28" s="87" t="str">
        <x:v>확인</x:v>
      </x:c>
      <x:c r="L28" s="87" t="str">
        <x:f>IF(OR(K28="미공지",K28="재확인 필요"),"검토 필요","등록 가능")</x:f>
        <x:v>등록 가능</x:v>
      </x:c>
    </x:row>
    <x:row r="29" ht="34" customHeight="1">
      <x:c r="A29" s="87" t="n">
        <x:v>21</x:v>
      </x:c>
      <x:c r="B29" s="90" t="n">
        <x:v>46226</x:v>
      </x:c>
      <x:c r="C29" s="87" t="str">
        <x:f>CHOOSE(WEEKDAY(B29,2),"월","화","수","목","금","토","일")</x:f>
        <x:v>목</x:v>
      </x:c>
      <x:c r="D29" s="93" t="n">
        <x:v>0.9583333333333334</x:v>
      </x:c>
      <x:c r="E29" s="87" t="str">
        <x:v>치지직</x:v>
      </x:c>
      <x:c r="F29" s="87" t="str">
        <x:v>시엔</x:v>
      </x:c>
      <x:c r="G29" s="87" t="str">
        <x:v>최초 데뷔</x:v>
      </x:c>
      <x:c r="H29" s="87" t="str">
        <x:f>IF(B29&lt;$B$3,"완료",IF(B29=$B$3,"당일","예정"))</x:f>
        <x:v>완료</x:v>
      </x:c>
      <x:c r="I29" s="84" t="str"/>
      <x:c r="J29" s="84" t="str">
        <x:v>https://chzzk.naver.com/2ff1e69c13a04c76a3533387d2126c61/videos</x:v>
      </x:c>
      <x:c r="K29" s="87" t="str">
        <x:v>확인</x:v>
      </x:c>
      <x:c r="L29" s="87" t="str">
        <x:f>IF(OR(K29="미공지",K29="재확인 필요"),"검토 필요","등록 가능")</x:f>
        <x:v>등록 가능</x:v>
      </x:c>
    </x:row>
    <x:row r="30" ht="34" customHeight="1">
      <x:c r="A30" s="87" t="n">
        <x:v>22</x:v>
      </x:c>
      <x:c r="B30" s="90" t="n">
        <x:v>46227</x:v>
      </x:c>
      <x:c r="C30" s="87" t="str">
        <x:f>CHOOSE(WEEKDAY(B30,2),"월","화","수","목","금","토","일")</x:f>
        <x:v>금</x:v>
      </x:c>
      <x:c r="D30" s="93"/>
      <x:c r="E30" s="87" t="str">
        <x:v>치지직</x:v>
      </x:c>
      <x:c r="F30" s="87" t="str">
        <x:v>리율</x:v>
      </x:c>
      <x:c r="G30" s="87" t="str">
        <x:v>Live2D 공개</x:v>
      </x:c>
      <x:c r="H30" s="87" t="str">
        <x:f>IF(B30&lt;$B$3,"완료",IF(B30=$B$3,"당일","예정"))</x:f>
        <x:v>완료</x:v>
      </x:c>
      <x:c r="I30" s="84" t="str">
        <x:v>Live2D 첫 공개</x:v>
      </x:c>
      <x:c r="J30" s="84" t="str">
        <x:v>https://x.com/Rhywul</x:v>
      </x:c>
      <x:c r="K30" s="87" t="str">
        <x:v>미공지</x:v>
      </x:c>
      <x:c r="L30" s="87" t="str">
        <x:f>IF(OR(K30="미공지",K30="재확인 필요"),"검토 필요","등록 가능")</x:f>
        <x:v>검토 필요</x:v>
      </x:c>
    </x:row>
    <x:row r="31" ht="34" customHeight="1">
      <x:c r="A31" s="87" t="n">
        <x:v>23</x:v>
      </x:c>
      <x:c r="B31" s="90" t="n">
        <x:v>46228</x:v>
      </x:c>
      <x:c r="C31" s="87" t="str">
        <x:f>CHOOSE(WEEKDAY(B31,2),"월","화","수","목","금","토","일")</x:f>
        <x:v>토</x:v>
      </x:c>
      <x:c r="D31" s="93" t="n">
        <x:v>0.5416666666666666</x:v>
      </x:c>
      <x:c r="E31" s="87" t="str">
        <x:v>치지직</x:v>
      </x:c>
      <x:c r="F31" s="87" t="str">
        <x:v>유네</x:v>
      </x:c>
      <x:c r="G31" s="87" t="str">
        <x:v>재데뷔</x:v>
      </x:c>
      <x:c r="H31" s="87" t="str">
        <x:f>IF(B31&lt;$B$3,"완료",IF(B31=$B$3,"당일","예정"))</x:f>
        <x:v>완료</x:v>
      </x:c>
      <x:c r="I31" s="84" t="str">
        <x:v>신규 버튜버 집계 제외 권장</x:v>
      </x:c>
      <x:c r="J31" s="84" t="str">
        <x:v>https://x.com/yune_of/status/2079201740860391579</x:v>
      </x:c>
      <x:c r="K31" s="87" t="str">
        <x:v>확인</x:v>
      </x:c>
      <x:c r="L31" s="87" t="str">
        <x:f>IF(OR(K31="미공지",K31="재확인 필요"),"검토 필요","등록 가능")</x:f>
        <x:v>등록 가능</x:v>
      </x:c>
    </x:row>
    <x:row r="32" ht="34" customHeight="1">
      <x:c r="A32" s="87" t="n">
        <x:v>24</x:v>
      </x:c>
      <x:c r="B32" s="90" t="n">
        <x:v>46228</x:v>
      </x:c>
      <x:c r="C32" s="87" t="str">
        <x:f>CHOOSE(WEEKDAY(B32,2),"월","화","수","목","금","토","일")</x:f>
        <x:v>토</x:v>
      </x:c>
      <x:c r="D32" s="93" t="n">
        <x:v>0.5833333333333334</x:v>
      </x:c>
      <x:c r="E32" s="87" t="str">
        <x:v>SOOP</x:v>
      </x:c>
      <x:c r="F32" s="87" t="str">
        <x:v>우치</x:v>
      </x:c>
      <x:c r="G32" s="87" t="str">
        <x:v>최초 데뷔</x:v>
      </x:c>
      <x:c r="H32" s="87" t="str">
        <x:f>IF(B32&lt;$B$3,"완료",IF(B32=$B$3,"당일","예정"))</x:f>
        <x:v>완료</x:v>
      </x:c>
      <x:c r="I32" s="84" t="str">
        <x:v>데뷔 방송</x:v>
      </x:c>
      <x:c r="J32" s="84" t="str">
        <x:v>https://www.sooplive.co.kr/station/memo/wooch1004/post/167837571</x:v>
      </x:c>
      <x:c r="K32" s="87" t="str">
        <x:v>확인</x:v>
      </x:c>
      <x:c r="L32" s="87" t="str">
        <x:f>IF(OR(K32="미공지",K32="재확인 필요"),"검토 필요","등록 가능")</x:f>
        <x:v>등록 가능</x:v>
      </x:c>
    </x:row>
    <x:row r="33" ht="34" customHeight="1">
      <x:c r="A33" s="87" t="n">
        <x:v>25</x:v>
      </x:c>
      <x:c r="B33" s="90" t="n">
        <x:v>46228</x:v>
      </x:c>
      <x:c r="C33" s="87" t="str">
        <x:f>CHOOSE(WEEKDAY(B33,2),"월","화","수","목","금","토","일")</x:f>
        <x:v>토</x:v>
      </x:c>
      <x:c r="D33" s="93" t="n">
        <x:v>0.8333333333333334</x:v>
      </x:c>
      <x:c r="E33" s="87" t="str">
        <x:v>치지직</x:v>
      </x:c>
      <x:c r="F33" s="87" t="str">
        <x:v>산호영</x:v>
      </x:c>
      <x:c r="G33" s="87" t="str">
        <x:v>최초 데뷔</x:v>
      </x:c>
      <x:c r="H33" s="87" t="str">
        <x:f>IF(B33&lt;$B$3,"완료",IF(B33=$B$3,"당일","예정"))</x:f>
        <x:v>완료</x:v>
      </x:c>
      <x:c r="I33" s="84" t="str"/>
      <x:c r="J33" s="84" t="str">
        <x:v>https://x.com/Sour__Fox___/status/2078084867397664770</x:v>
      </x:c>
      <x:c r="K33" s="87" t="str">
        <x:v>확인</x:v>
      </x:c>
      <x:c r="L33" s="87" t="str">
        <x:f>IF(OR(K33="미공지",K33="재확인 필요"),"검토 필요","등록 가능")</x:f>
        <x:v>등록 가능</x:v>
      </x:c>
    </x:row>
    <x:row r="34" ht="34" customHeight="1">
      <x:c r="A34" s="87" t="n">
        <x:v>26</x:v>
      </x:c>
      <x:c r="B34" s="90" t="n">
        <x:v>46229</x:v>
      </x:c>
      <x:c r="C34" s="87" t="str">
        <x:f>CHOOSE(WEEKDAY(B34,2),"월","화","수","목","금","토","일")</x:f>
        <x:v>일</x:v>
      </x:c>
      <x:c r="D34" s="93"/>
      <x:c r="E34" s="87" t="str">
        <x:v>SOOP</x:v>
      </x:c>
      <x:c r="F34" s="87" t="str">
        <x:v>크으캬</x:v>
      </x:c>
      <x:c r="G34" s="87" t="str">
        <x:v>최초 데뷔</x:v>
      </x:c>
      <x:c r="H34" s="87" t="str">
        <x:f>IF(B34&lt;$B$3,"완료",IF(B34=$B$3,"당일","예정"))</x:f>
        <x:v>완료</x:v>
      </x:c>
      <x:c r="I34" s="84" t="str">
        <x:v>원문 ‘5시’ 표기: 오전·오후 재확인 필요</x:v>
      </x:c>
      <x:c r="J34" s="84" t="str">
        <x:v>https://www.sooplive.co.kr/station/memo/kya030/post/167873256</x:v>
      </x:c>
      <x:c r="K34" s="87" t="str">
        <x:v>재확인 필요</x:v>
      </x:c>
      <x:c r="L34" s="87" t="str">
        <x:f>IF(OR(K34="미공지",K34="재확인 필요"),"검토 필요","등록 가능")</x:f>
        <x:v>검토 필요</x:v>
      </x:c>
    </x:row>
    <x:row r="35" ht="34" customHeight="1">
      <x:c r="A35" s="87" t="n">
        <x:v>27</x:v>
      </x:c>
      <x:c r="B35" s="90" t="n">
        <x:v>46229</x:v>
      </x:c>
      <x:c r="C35" s="87" t="str">
        <x:f>CHOOSE(WEEKDAY(B35,2),"월","화","수","목","금","토","일")</x:f>
        <x:v>일</x:v>
      </x:c>
      <x:c r="D35" s="93" t="n">
        <x:v>0.8333333333333334</x:v>
      </x:c>
      <x:c r="E35" s="87" t="str">
        <x:v>치지직</x:v>
      </x:c>
      <x:c r="F35" s="87" t="str">
        <x:v>아이노 시아</x:v>
      </x:c>
      <x:c r="G35" s="87" t="str">
        <x:v>플랫폼 재데뷔</x:v>
      </x:c>
      <x:c r="H35" s="87" t="str">
        <x:f>IF(B35&lt;$B$3,"완료",IF(B35=$B$3,"당일","예정"))</x:f>
        <x:v>완료</x:v>
      </x:c>
      <x:c r="I35" s="84" t="str">
        <x:v>치지직 재데뷔·신규 버튜버 집계 제외 권장</x:v>
      </x:c>
      <x:c r="J35" s="84" t="str">
        <x:v>https://x.com/aino_sia/status/2081258211425001523/photo/1</x:v>
      </x:c>
      <x:c r="K35" s="87" t="str">
        <x:v>확인</x:v>
      </x:c>
      <x:c r="L35" s="87" t="str">
        <x:f>IF(OR(K35="미공지",K35="재확인 필요"),"검토 필요","등록 가능")</x:f>
        <x:v>등록 가능</x:v>
      </x:c>
    </x:row>
    <x:row r="36" ht="34" customHeight="1">
      <x:c r="A36" s="87" t="n">
        <x:v>28</x:v>
      </x:c>
      <x:c r="B36" s="90" t="n">
        <x:v>46230</x:v>
      </x:c>
      <x:c r="C36" s="87" t="str">
        <x:f>CHOOSE(WEEKDAY(B36,2),"월","화","수","목","금","토","일")</x:f>
        <x:v>월</x:v>
      </x:c>
      <x:c r="D36" s="93" t="n">
        <x:v>0.5833333333333334</x:v>
      </x:c>
      <x:c r="E36" s="87" t="str">
        <x:v>SOOP</x:v>
      </x:c>
      <x:c r="F36" s="87" t="str">
        <x:v>마룽</x:v>
      </x:c>
      <x:c r="G36" s="87" t="str">
        <x:v>최초 데뷔</x:v>
      </x:c>
      <x:c r="H36" s="87" t="str">
        <x:f>IF(B36&lt;$B$3,"완료",IF(B36=$B$3,"당일","예정"))</x:f>
        <x:v>당일</x:v>
      </x:c>
      <x:c r="I36" s="84" t="str">
        <x:v>데뷔 방송</x:v>
      </x:c>
      <x:c r="J36" s="84" t="str">
        <x:v>https://www.sooplive.co.kr/station/memo/marung00/post/167918269</x:v>
      </x:c>
      <x:c r="K36" s="87" t="str">
        <x:v>확인</x:v>
      </x:c>
      <x:c r="L36" s="87" t="str">
        <x:f>IF(OR(K36="미공지",K36="재확인 필요"),"검토 필요","등록 가능")</x:f>
        <x:v>등록 가능</x:v>
      </x:c>
    </x:row>
    <x:row r="37" ht="34" customHeight="1">
      <x:c r="A37" s="87" t="n">
        <x:v>29</x:v>
      </x:c>
      <x:c r="B37" s="90" t="n">
        <x:v>46230</x:v>
      </x:c>
      <x:c r="C37" s="87" t="str">
        <x:f>CHOOSE(WEEKDAY(B37,2),"월","화","수","목","금","토","일")</x:f>
        <x:v>월</x:v>
      </x:c>
      <x:c r="D37" s="93" t="n">
        <x:v>0.6458333333333334</x:v>
      </x:c>
      <x:c r="E37" s="87" t="str">
        <x:v>치지직</x:v>
      </x:c>
      <x:c r="F37" s="87" t="str">
        <x:v>블루니아</x:v>
      </x:c>
      <x:c r="G37" s="87" t="str">
        <x:v>최초 데뷔</x:v>
      </x:c>
      <x:c r="H37" s="87" t="str">
        <x:f>IF(B37&lt;$B$3,"완료",IF(B37=$B$3,"당일","예정"))</x:f>
        <x:v>당일</x:v>
      </x:c>
      <x:c r="I37" s="84" t="str"/>
      <x:c r="J37" s="84" t="str">
        <x:v>https://www.youtube.com/watch?v=87LBL1u7Ok8</x:v>
      </x:c>
      <x:c r="K37" s="87" t="str">
        <x:v>확인</x:v>
      </x:c>
      <x:c r="L37" s="87" t="str">
        <x:f>IF(OR(K37="미공지",K37="재확인 필요"),"검토 필요","등록 가능")</x:f>
        <x:v>등록 가능</x:v>
      </x:c>
    </x:row>
    <x:row r="38" ht="34" customHeight="1">
      <x:c r="A38" s="87" t="n">
        <x:v>30</x:v>
      </x:c>
      <x:c r="B38" s="90" t="n">
        <x:v>46230</x:v>
      </x:c>
      <x:c r="C38" s="87" t="str">
        <x:f>CHOOSE(WEEKDAY(B38,2),"월","화","수","목","금","토","일")</x:f>
        <x:v>월</x:v>
      </x:c>
      <x:c r="D38" s="93" t="n">
        <x:v>0.8333333333333334</x:v>
      </x:c>
      <x:c r="E38" s="87" t="str">
        <x:v>치지직</x:v>
      </x:c>
      <x:c r="F38" s="87" t="str">
        <x:v>큐에</x:v>
      </x:c>
      <x:c r="G38" s="87" t="str">
        <x:v>최초 데뷔</x:v>
      </x:c>
      <x:c r="H38" s="87" t="str">
        <x:f>IF(B38&lt;$B$3,"완료",IF(B38=$B$3,"당일","예정"))</x:f>
        <x:v>당일</x:v>
      </x:c>
      <x:c r="I38" s="84" t="str"/>
      <x:c r="J38" s="84" t="str">
        <x:v>https://x.com/Yu_0w0r/status/2079417816948854910</x:v>
      </x:c>
      <x:c r="K38" s="87" t="str">
        <x:v>확인</x:v>
      </x:c>
      <x:c r="L38" s="87" t="str">
        <x:f>IF(OR(K38="미공지",K38="재확인 필요"),"검토 필요","등록 가능")</x:f>
        <x:v>등록 가능</x:v>
      </x:c>
    </x:row>
    <x:row r="39" ht="34" customHeight="1">
      <x:c r="A39" s="87" t="n">
        <x:v>31</x:v>
      </x:c>
      <x:c r="B39" s="90" t="n">
        <x:v>46231</x:v>
      </x:c>
      <x:c r="C39" s="87" t="str">
        <x:f>CHOOSE(WEEKDAY(B39,2),"월","화","수","목","금","토","일")</x:f>
        <x:v>화</x:v>
      </x:c>
      <x:c r="D39" s="93" t="n">
        <x:v>0.875</x:v>
      </x:c>
      <x:c r="E39" s="87" t="str">
        <x:v>치지직</x:v>
      </x:c>
      <x:c r="F39" s="87" t="str">
        <x:v>베리아</x:v>
      </x:c>
      <x:c r="G39" s="87" t="str">
        <x:v>최초 데뷔</x:v>
      </x:c>
      <x:c r="H39" s="87" t="str">
        <x:f>IF(B39&lt;$B$3,"완료",IF(B39=$B$3,"당일","예정"))</x:f>
        <x:v>예정</x:v>
      </x:c>
      <x:c r="I39" s="84" t="str">
        <x:v>예정</x:v>
      </x:c>
      <x:c r="J39" s="84" t="str">
        <x:v>https://x.com/Beriaroom/status/2078736030249996427</x:v>
      </x:c>
      <x:c r="K39" s="87" t="str">
        <x:v>확인</x:v>
      </x:c>
      <x:c r="L39" s="87" t="str">
        <x:f>IF(OR(K39="미공지",K39="재확인 필요"),"검토 필요","등록 가능")</x:f>
        <x:v>등록 가능</x:v>
      </x:c>
    </x:row>
    <x:row r="40" ht="34" customHeight="1">
      <x:c r="A40" s="87" t="n">
        <x:v>32</x:v>
      </x:c>
      <x:c r="B40" s="90" t="n">
        <x:v>46232</x:v>
      </x:c>
      <x:c r="C40" s="87" t="str">
        <x:f>CHOOSE(WEEKDAY(B40,2),"월","화","수","목","금","토","일")</x:f>
        <x:v>수</x:v>
      </x:c>
      <x:c r="D40" s="93" t="n">
        <x:v>0.5833333333333334</x:v>
      </x:c>
      <x:c r="E40" s="87" t="str">
        <x:v>SOOP</x:v>
      </x:c>
      <x:c r="F40" s="87" t="str">
        <x:v>루하</x:v>
      </x:c>
      <x:c r="G40" s="87" t="str">
        <x:v>최초 데뷔</x:v>
      </x:c>
      <x:c r="H40" s="87" t="str">
        <x:f>IF(B40&lt;$B$3,"완료",IF(B40=$B$3,"당일","예정"))</x:f>
        <x:v>예정</x:v>
      </x:c>
      <x:c r="I40" s="84" t="str">
        <x:v>예정</x:v>
      </x:c>
      <x:c r="J40" s="84" t="str">
        <x:v>https://www.sooplive.co.kr/station/memo/ruha0612/post/168012350</x:v>
      </x:c>
      <x:c r="K40" s="87" t="str">
        <x:v>확인</x:v>
      </x:c>
      <x:c r="L40" s="87" t="str">
        <x:f>IF(OR(K40="미공지",K40="재확인 필요"),"검토 필요","등록 가능")</x:f>
        <x:v>등록 가능</x:v>
      </x:c>
    </x:row>
    <x:row r="41" ht="34" customHeight="1">
      <x:c r="A41" s="87" t="n">
        <x:v>33</x:v>
      </x:c>
      <x:c r="B41" s="90" t="n">
        <x:v>46233</x:v>
      </x:c>
      <x:c r="C41" s="87" t="str">
        <x:f>CHOOSE(WEEKDAY(B41,2),"월","화","수","목","금","토","일")</x:f>
        <x:v>목</x:v>
      </x:c>
      <x:c r="D41" s="93" t="n">
        <x:v>0.5833333333333334</x:v>
      </x:c>
      <x:c r="E41" s="87" t="str">
        <x:v>SOOP</x:v>
      </x:c>
      <x:c r="F41" s="87" t="str">
        <x:v>치즈치즈</x:v>
      </x:c>
      <x:c r="G41" s="87" t="str">
        <x:v>재데뷔</x:v>
      </x:c>
      <x:c r="H41" s="87" t="str">
        <x:f>IF(B41&lt;$B$3,"완료",IF(B41=$B$3,"당일","예정"))</x:f>
        <x:v>예정</x:v>
      </x:c>
      <x:c r="I41" s="84" t="str">
        <x:v>재데뷔 예정·신규 버튜버 집계 제외 권장</x:v>
      </x:c>
      <x:c r="J41" s="84" t="str">
        <x:v>https://www.sooplive.co.kr/station/memo/cheesezz/post/168054144</x:v>
      </x:c>
      <x:c r="K41" s="87" t="str">
        <x:v>확인</x:v>
      </x:c>
      <x:c r="L41" s="87" t="str">
        <x:f>IF(OR(K41="미공지",K41="재확인 필요"),"검토 필요","등록 가능")</x:f>
        <x:v>등록 가능</x:v>
      </x:c>
    </x:row>
    <x:row r="42" ht="34" customHeight="1">
      <x:c r="A42" s="87" t="n">
        <x:v>34</x:v>
      </x:c>
      <x:c r="B42" s="90" t="n">
        <x:v>46233</x:v>
      </x:c>
      <x:c r="C42" s="87" t="str">
        <x:f>CHOOSE(WEEKDAY(B42,2),"월","화","수","목","금","토","일")</x:f>
        <x:v>목</x:v>
      </x:c>
      <x:c r="D42" s="93" t="n">
        <x:v>0.625</x:v>
      </x:c>
      <x:c r="E42" s="87" t="str">
        <x:v>치지직</x:v>
      </x:c>
      <x:c r="F42" s="87" t="str">
        <x:v>트로이메라이</x:v>
      </x:c>
      <x:c r="G42" s="87" t="str">
        <x:v>Live2D 공개</x:v>
      </x:c>
      <x:c r="H42" s="87" t="str">
        <x:f>IF(B42&lt;$B$3,"완료",IF(B42=$B$3,"당일","예정"))</x:f>
        <x:v>예정</x:v>
      </x:c>
      <x:c r="I42" s="84" t="str">
        <x:v>Live2D 첫 방송 예정</x:v>
      </x:c>
      <x:c r="J42" s="84" t="str">
        <x:v>https://x.com/Traumera2/status/2080945881533313116</x:v>
      </x:c>
      <x:c r="K42" s="87" t="str">
        <x:v>확인</x:v>
      </x:c>
      <x:c r="L42" s="87" t="str">
        <x:f>IF(OR(K42="미공지",K42="재확인 필요"),"검토 필요","등록 가능")</x:f>
        <x:v>등록 가능</x:v>
      </x:c>
    </x:row>
    <x:row r="43" ht="34" customHeight="1">
      <x:c r="A43" s="87" t="n">
        <x:v>35</x:v>
      </x:c>
      <x:c r="B43" s="90" t="n">
        <x:v>46233</x:v>
      </x:c>
      <x:c r="C43" s="87" t="str">
        <x:f>CHOOSE(WEEKDAY(B43,2),"월","화","수","목","금","토","일")</x:f>
        <x:v>목</x:v>
      </x:c>
      <x:c r="D43" s="93" t="n">
        <x:v>0.7916666666666666</x:v>
      </x:c>
      <x:c r="E43" s="87" t="str">
        <x:v>SOOP</x:v>
      </x:c>
      <x:c r="F43" s="87" t="str">
        <x:v>(타)마고</x:v>
      </x:c>
      <x:c r="G43" s="87" t="str">
        <x:v>최초 데뷔</x:v>
      </x:c>
      <x:c r="H43" s="87" t="str">
        <x:f>IF(B43&lt;$B$3,"완료",IF(B43=$B$3,"당일","예정"))</x:f>
        <x:v>예정</x:v>
      </x:c>
      <x:c r="I43" s="84" t="str">
        <x:v>예정</x:v>
      </x:c>
      <x:c r="J43" s="84" t="str">
        <x:v>https://www.sooplive.co.kr/station/memo/tamago611/post/168056587</x:v>
      </x:c>
      <x:c r="K43" s="87" t="str">
        <x:v>확인</x:v>
      </x:c>
      <x:c r="L43" s="87" t="str">
        <x:f>IF(OR(K43="미공지",K43="재확인 필요"),"검토 필요","등록 가능")</x:f>
        <x:v>등록 가능</x:v>
      </x:c>
    </x:row>
    <x:row r="44" ht="34" customHeight="1">
      <x:c r="A44" s="87" t="n">
        <x:v>36</x:v>
      </x:c>
      <x:c r="B44" s="90" t="n">
        <x:v>46234</x:v>
      </x:c>
      <x:c r="C44" s="87" t="str">
        <x:f>CHOOSE(WEEKDAY(B44,2),"월","화","수","목","금","토","일")</x:f>
        <x:v>금</x:v>
      </x:c>
      <x:c r="D44" s="93" t="n">
        <x:v>0.7916666666666666</x:v>
      </x:c>
      <x:c r="E44" s="87" t="str">
        <x:v>SOOP</x:v>
      </x:c>
      <x:c r="F44" s="87" t="str">
        <x:v>이로냥</x:v>
      </x:c>
      <x:c r="G44" s="87" t="str">
        <x:v>최초 데뷔</x:v>
      </x:c>
      <x:c r="H44" s="87" t="str">
        <x:f>IF(B44&lt;$B$3,"완료",IF(B44=$B$3,"당일","예정"))</x:f>
        <x:v>예정</x:v>
      </x:c>
      <x:c r="I44" s="84" t="str">
        <x:v>예정</x:v>
      </x:c>
      <x:c r="J44" s="84" t="str">
        <x:v>https://www.sooplive.co.kr/station/memo/ironyang/post/168100669</x:v>
      </x:c>
      <x:c r="K44" s="87" t="str">
        <x:v>확인</x:v>
      </x:c>
      <x:c r="L44" s="87" t="str">
        <x:f>IF(OR(K44="미공지",K44="재확인 필요"),"검토 필요","등록 가능")</x:f>
        <x:v>등록 가능</x:v>
      </x:c>
    </x:row>
    <x:row r="45" ht="34" customHeight="1">
      <x:c r="A45" s="87" t="n">
        <x:v>37</x:v>
      </x:c>
      <x:c r="B45" s="90" t="n">
        <x:v>46235</x:v>
      </x:c>
      <x:c r="C45" s="87" t="str">
        <x:f>CHOOSE(WEEKDAY(B45,2),"월","화","수","목","금","토","일")</x:f>
        <x:v>토</x:v>
      </x:c>
      <x:c r="D45" s="93" t="n">
        <x:v>0.625</x:v>
      </x:c>
      <x:c r="E45" s="87" t="str">
        <x:v>SOOP</x:v>
      </x:c>
      <x:c r="F45" s="87" t="str">
        <x:v>채은하</x:v>
      </x:c>
      <x:c r="G45" s="87" t="str">
        <x:v>최초 데뷔</x:v>
      </x:c>
      <x:c r="H45" s="87" t="str">
        <x:f>IF(B45&lt;$B$3,"완료",IF(B45=$B$3,"당일","예정"))</x:f>
        <x:v>예정</x:v>
      </x:c>
      <x:c r="I45" s="84" t="str">
        <x:v>예정</x:v>
      </x:c>
      <x:c r="J45" s="84" t="str">
        <x:v>https://www.sooplive.co.kr/station/memo/eunha0202/post/168146976</x:v>
      </x:c>
      <x:c r="K45" s="87" t="str">
        <x:v>확인</x:v>
      </x:c>
      <x:c r="L45" s="87" t="str">
        <x:f>IF(OR(K45="미공지",K45="재확인 필요"),"검토 필요","등록 가능")</x:f>
        <x:v>등록 가능</x:v>
      </x:c>
    </x:row>
    <x:row r="46" ht="34" customHeight="1">
      <x:c r="A46" s="87" t="n">
        <x:v>38</x:v>
      </x:c>
      <x:c r="B46" s="90" t="n">
        <x:v>46235</x:v>
      </x:c>
      <x:c r="C46" s="87" t="str">
        <x:f>CHOOSE(WEEKDAY(B46,2),"월","화","수","목","금","토","일")</x:f>
        <x:v>토</x:v>
      </x:c>
      <x:c r="D46" s="93" t="n">
        <x:v>0.6666666666666666</x:v>
      </x:c>
      <x:c r="E46" s="87" t="str">
        <x:v>치지직</x:v>
      </x:c>
      <x:c r="F46" s="87" t="str">
        <x:v>아마츠 노야</x:v>
      </x:c>
      <x:c r="G46" s="87" t="str">
        <x:v>최초 데뷔</x:v>
      </x:c>
      <x:c r="H46" s="87" t="str">
        <x:f>IF(B46&lt;$B$3,"완료",IF(B46=$B$3,"당일","예정"))</x:f>
        <x:v>예정</x:v>
      </x:c>
      <x:c r="I46" s="84" t="str">
        <x:v>예정</x:v>
      </x:c>
      <x:c r="J46" s="84" t="str">
        <x:v>https://x.com/noya_yo_o</x:v>
      </x:c>
      <x:c r="K46" s="87" t="str">
        <x:v>확인</x:v>
      </x:c>
      <x:c r="L46" s="87" t="str">
        <x:f>IF(OR(K46="미공지",K46="재확인 필요"),"검토 필요","등록 가능")</x:f>
        <x:v>등록 가능</x:v>
      </x:c>
    </x:row>
    <x:row r="47" ht="34" customHeight="1">
      <x:c r="A47" s="87" t="n">
        <x:v>39</x:v>
      </x:c>
      <x:c r="B47" s="90" t="n">
        <x:v>46235</x:v>
      </x:c>
      <x:c r="C47" s="87" t="str">
        <x:f>CHOOSE(WEEKDAY(B47,2),"월","화","수","목","금","토","일")</x:f>
        <x:v>토</x:v>
      </x:c>
      <x:c r="D47" s="93" t="n">
        <x:v>0.8333333333333334</x:v>
      </x:c>
      <x:c r="E47" s="87" t="str">
        <x:v>SOOP</x:v>
      </x:c>
      <x:c r="F47" s="87" t="str">
        <x:v>또모</x:v>
      </x:c>
      <x:c r="G47" s="87" t="str">
        <x:v>최초 데뷔</x:v>
      </x:c>
      <x:c r="H47" s="87" t="str">
        <x:f>IF(B47&lt;$B$3,"완료",IF(B47=$B$3,"당일","예정"))</x:f>
        <x:v>예정</x:v>
      </x:c>
      <x:c r="I47" s="84" t="str">
        <x:v>예정</x:v>
      </x:c>
      <x:c r="J47" s="84" t="str">
        <x:v>https://www.sooplive.co.kr/station/memo/ddomo0/post/168150874</x:v>
      </x:c>
      <x:c r="K47" s="87" t="str">
        <x:v>확인</x:v>
      </x:c>
      <x:c r="L47" s="87" t="str">
        <x:f>IF(OR(K47="미공지",K47="재확인 필요"),"검토 필요","등록 가능")</x:f>
        <x:v>등록 가능</x:v>
      </x:c>
    </x:row>
    <x:row r="48" ht="34" customHeight="1">
      <x:c r="A48" s="87" t="n">
        <x:v>40</x:v>
      </x:c>
      <x:c r="B48" s="90" t="n">
        <x:v>46239</x:v>
      </x:c>
      <x:c r="C48" s="87" t="str">
        <x:f>CHOOSE(WEEKDAY(B48,2),"월","화","수","목","금","토","일")</x:f>
        <x:v>수</x:v>
      </x:c>
      <x:c r="D48" s="93"/>
      <x:c r="E48" s="87" t="str">
        <x:v>치지직</x:v>
      </x:c>
      <x:c r="F48" s="87" t="str">
        <x:v>나기 히유라</x:v>
      </x:c>
      <x:c r="G48" s="87" t="str">
        <x:v>최초 데뷔</x:v>
      </x:c>
      <x:c r="H48" s="87" t="str">
        <x:f>IF(B48&lt;$B$3,"완료",IF(B48=$B$3,"당일","예정"))</x:f>
        <x:v>예정</x:v>
      </x:c>
      <x:c r="I48" s="84" t="str">
        <x:v>예정</x:v>
      </x:c>
      <x:c r="J48" s="84" t="str">
        <x:v>https://x.com/SonagiNagi_/status/2080880724324806758</x:v>
      </x:c>
      <x:c r="K48" s="87" t="str">
        <x:v>미공지</x:v>
      </x:c>
      <x:c r="L48" s="87" t="str">
        <x:f>IF(OR(K48="미공지",K48="재확인 필요"),"검토 필요","등록 가능")</x:f>
        <x:v>검토 필요</x:v>
      </x:c>
    </x:row>
    <x:row r="49" ht="34" customHeight="1">
      <x:c r="A49" s="87" t="n">
        <x:v>41</x:v>
      </x:c>
      <x:c r="B49" s="90" t="n">
        <x:v>46242</x:v>
      </x:c>
      <x:c r="C49" s="87" t="str">
        <x:f>CHOOSE(WEEKDAY(B49,2),"월","화","수","목","금","토","일")</x:f>
        <x:v>토</x:v>
      </x:c>
      <x:c r="D49" s="93" t="n">
        <x:v>0.5</x:v>
      </x:c>
      <x:c r="E49" s="87" t="str">
        <x:v>SOOP</x:v>
      </x:c>
      <x:c r="F49" s="87" t="str">
        <x:v>먀오</x:v>
      </x:c>
      <x:c r="G49" s="87" t="str">
        <x:v>최초 데뷔</x:v>
      </x:c>
      <x:c r="H49" s="87" t="str">
        <x:f>IF(B49&lt;$B$3,"완료",IF(B49=$B$3,"당일","예정"))</x:f>
        <x:v>예정</x:v>
      </x:c>
      <x:c r="I49" s="84" t="str">
        <x:v>예정</x:v>
      </x:c>
      <x:c r="J49" s="84" t="str">
        <x:v>https://www.sooplive.co.kr/station/memo/myao0207/post/168459900</x:v>
      </x:c>
      <x:c r="K49" s="87" t="str">
        <x:v>확인</x:v>
      </x:c>
      <x:c r="L49" s="87" t="str">
        <x:f>IF(OR(K49="미공지",K49="재확인 필요"),"검토 필요","등록 가능")</x:f>
        <x:v>등록 가능</x:v>
      </x:c>
    </x:row>
    <x:row r="50" ht="34" customHeight="1">
      <x:c r="A50" s="87" t="n">
        <x:v>42</x:v>
      </x:c>
      <x:c r="B50" s="90" t="n">
        <x:v>46242</x:v>
      </x:c>
      <x:c r="C50" s="87" t="str">
        <x:f>CHOOSE(WEEKDAY(B50,2),"월","화","수","목","금","토","일")</x:f>
        <x:v>토</x:v>
      </x:c>
      <x:c r="D50" s="93" t="n">
        <x:v>0.5833333333333334</x:v>
      </x:c>
      <x:c r="E50" s="87" t="str">
        <x:v>SOOP</x:v>
      </x:c>
      <x:c r="F50" s="87" t="str">
        <x:v>텐타시현</x:v>
      </x:c>
      <x:c r="G50" s="87" t="str">
        <x:v>최초 데뷔</x:v>
      </x:c>
      <x:c r="H50" s="87" t="str">
        <x:f>IF(B50&lt;$B$3,"완료",IF(B50=$B$3,"당일","예정"))</x:f>
        <x:v>예정</x:v>
      </x:c>
      <x:c r="I50" s="84" t="str">
        <x:v>예정</x:v>
      </x:c>
      <x:c r="J50" s="84" t="str">
        <x:v>https://www.sooplive.co.kr/station/memo/tentash/post/168461822</x:v>
      </x:c>
      <x:c r="K50" s="87" t="str">
        <x:v>확인</x:v>
      </x:c>
      <x:c r="L50" s="87" t="str">
        <x:f>IF(OR(K50="미공지",K50="재확인 필요"),"검토 필요","등록 가능")</x:f>
        <x:v>등록 가능</x:v>
      </x:c>
    </x:row>
    <x:row r="51" ht="34" customHeight="1">
      <x:c r="A51" s="87" t="n">
        <x:v>43</x:v>
      </x:c>
      <x:c r="B51" s="90" t="n">
        <x:v>46244</x:v>
      </x:c>
      <x:c r="C51" s="87" t="str">
        <x:f>CHOOSE(WEEKDAY(B51,2),"월","화","수","목","금","토","일")</x:f>
        <x:v>월</x:v>
      </x:c>
      <x:c r="D51" s="93"/>
      <x:c r="E51" s="87" t="str">
        <x:v>치지직</x:v>
      </x:c>
      <x:c r="F51" s="87" t="str">
        <x:v>프린</x:v>
      </x:c>
      <x:c r="G51" s="87" t="str">
        <x:v>3D 재데뷔</x:v>
      </x:c>
      <x:c r="H51" s="87" t="str">
        <x:f>IF(B51&lt;$B$3,"완료",IF(B51=$B$3,"당일","예정"))</x:f>
        <x:v>예정</x:v>
      </x:c>
      <x:c r="I51" s="84" t="str">
        <x:v>3D 재데뷔·신규 버튜버 집계 제외 권장</x:v>
      </x:c>
      <x:c r="J51" s="84" t="str">
        <x:v>https://x.com/Prin030/status/2079282719876637147</x:v>
      </x:c>
      <x:c r="K51" s="87" t="str">
        <x:v>미공지</x:v>
      </x:c>
      <x:c r="L51" s="87" t="str">
        <x:f>IF(OR(K51="미공지",K51="재확인 필요"),"검토 필요","등록 가능")</x:f>
        <x:v>검토 필요</x:v>
      </x:c>
    </x:row>
    <x:row r="52" ht="34" customHeight="1">
      <x:c r="A52" s="87" t="n">
        <x:v>44</x:v>
      </x:c>
      <x:c r="B52" s="90" t="n">
        <x:v>46249</x:v>
      </x:c>
      <x:c r="C52" s="87" t="str">
        <x:f>CHOOSE(WEEKDAY(B52,2),"월","화","수","목","금","토","일")</x:f>
        <x:v>토</x:v>
      </x:c>
      <x:c r="D52" s="93" t="n">
        <x:v>0.5833333333333334</x:v>
      </x:c>
      <x:c r="E52" s="87" t="str">
        <x:v>SOOP</x:v>
      </x:c>
      <x:c r="F52" s="87" t="str">
        <x:v>먀잉</x:v>
      </x:c>
      <x:c r="G52" s="87" t="str">
        <x:v>최초 데뷔</x:v>
      </x:c>
      <x:c r="H52" s="87" t="str">
        <x:f>IF(B52&lt;$B$3,"완료",IF(B52=$B$3,"당일","예정"))</x:f>
        <x:v>예정</x:v>
      </x:c>
      <x:c r="I52" s="84" t="str">
        <x:v>예정</x:v>
      </x:c>
      <x:c r="J52" s="84" t="str">
        <x:v>https://x.com/myaing1213</x:v>
      </x:c>
      <x:c r="K52" s="87" t="str">
        <x:v>확인</x:v>
      </x:c>
      <x:c r="L52" s="87" t="str">
        <x:f>IF(OR(K52="미공지",K52="재확인 필요"),"검토 필요","등록 가능")</x:f>
        <x:v>등록 가능</x:v>
      </x:c>
    </x:row>
    <x:row r="53" ht="34" customHeight="1">
      <x:c r="A53" s="88" t="n">
        <x:v>45</x:v>
      </x:c>
      <x:c r="B53" s="91" t="n">
        <x:v>46256</x:v>
      </x:c>
      <x:c r="C53" s="88" t="str">
        <x:f>CHOOSE(WEEKDAY(B53,2),"월","화","수","목","금","토","일")</x:f>
        <x:v>토</x:v>
      </x:c>
      <x:c r="D53" s="94" t="n">
        <x:v>0.5833333333333334</x:v>
      </x:c>
      <x:c r="E53" s="88" t="str">
        <x:v>치지직</x:v>
      </x:c>
      <x:c r="F53" s="88" t="str">
        <x:v>키키모라</x:v>
      </x:c>
      <x:c r="G53" s="88" t="str">
        <x:v>최초 데뷔</x:v>
      </x:c>
      <x:c r="H53" s="88" t="str">
        <x:f>IF(B53&lt;$B$3,"완료",IF(B53=$B$3,"당일","예정"))</x:f>
        <x:v>예정</x:v>
      </x:c>
      <x:c r="I53" s="85" t="str">
        <x:v>V-LUP 데뷔 예정</x:v>
      </x:c>
      <x:c r="J53" s="85" t="str">
        <x:v>https://x.com/V_LUP_Official</x:v>
      </x:c>
      <x:c r="K53" s="88" t="str">
        <x:v>확인</x:v>
      </x:c>
      <x:c r="L53" s="88" t="str">
        <x:f>IF(OR(K53="미공지",K53="재확인 필요"),"검토 필요","등록 가능")</x:f>
        <x:v>등록 가능</x:v>
      </x:c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A1:L1"/>
    <x:mergeCell ref="A2:L2"/>
    <x:mergeCell ref="J3:L3"/>
    <x:mergeCell ref="A4:B4"/>
    <x:mergeCell ref="A5:B5"/>
    <x:mergeCell ref="D4:E4"/>
    <x:mergeCell ref="D5:E5"/>
    <x:mergeCell ref="G4:H4"/>
    <x:mergeCell ref="G5:H5"/>
    <x:mergeCell ref="J4:L4"/>
    <x:mergeCell ref="J5:L5"/>
  </x:mergeCells>
  <x:conditionalFormatting sqref="E9:E53">
    <x:cfRule type="containsText" dxfId="0" priority="1" operator="containsText" text="치지직"/>
    <x:cfRule type="containsText" dxfId="1" priority="2" operator="containsText" text="SOOP"/>
  </x:conditionalFormatting>
  <x:conditionalFormatting sqref="H9:H53">
    <x:cfRule type="containsText" dxfId="2" priority="3" operator="containsText" text="예정"/>
    <x:cfRule type="containsText" dxfId="3" priority="4" operator="containsText" text="당일"/>
  </x:conditionalFormatting>
  <x:conditionalFormatting sqref="L9:L53">
    <x:cfRule type="containsText" dxfId="4" priority="5" operator="containsText" text="검토 필요"/>
  </x:conditionalFormatting>
  <x:dataValidations count="3">
    <x:dataValidation type="list" sqref="E9:E200">
      <x:formula1>"치지직,SOOP"</x:formula1>
    </x:dataValidation>
    <x:dataValidation type="list" sqref="G9:G200">
      <x:formula1>"최초 데뷔,재데뷔,플랫폼 재데뷔,Live2D 공개,3D 재데뷔"</x:formula1>
    </x:dataValidation>
    <x:dataValidation type="list" sqref="K9:K200">
      <x:formula1>"확인,미공지,재확인 필요"</x:formula1>
    </x:dataValidation>
  </x:dataValidations>
  <x:pageMargins left="0.7" right="0.7" top="0.75" bottom="0.75" header="0.3" footer="0.3"/>
  <x:legacyDrawing xmlns:r="http://schemas.openxmlformats.org/officeDocument/2006/relationships" r:id="R8eca6483a0b44f27"/>
  <x:tableParts count="1">
    <x:tablePart xmlns:r="http://schemas.openxmlformats.org/officeDocument/2006/relationships" r:id="Rb940ccc710d941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5" t="str">
        <x:v>2026년 7월 버튜버 데뷔 캘린더</x:v>
      </x:c>
      <x:c r="B1" s="5" t="str">
        <x:v>2026년 7월 버튜버 데뷔 캘린더</x:v>
      </x:c>
      <x:c r="C1" s="5" t="str">
        <x:v>2026년 7월 버튜버 데뷔 캘린더</x:v>
      </x:c>
      <x:c r="D1" s="5" t="str">
        <x:v>2026년 7월 버튜버 데뷔 캘린더</x:v>
      </x:c>
      <x:c r="E1" s="5" t="str">
        <x:v>2026년 7월 버튜버 데뷔 캘린더</x:v>
      </x:c>
      <x:c r="F1" s="5" t="str">
        <x:v>2026년 7월 버튜버 데뷔 캘린더</x:v>
      </x:c>
      <x:c r="G1" s="5" t="str">
        <x:v>2026년 7월 버튜버 데뷔 캘린더</x:v>
      </x:c>
    </x:row>
    <x:row r="2" ht="24" customHeight="1">
      <x:c r="A2" s="8" t="str">
        <x:v>치지직·SOOP | 시간은 한국시간(KST) | 재데뷔·모델 공개 일정은 유형을 함께 표기</x:v>
      </x:c>
      <x:c r="B2" s="8"/>
      <x:c r="C2" s="8"/>
      <x:c r="D2" s="8"/>
      <x:c r="E2" s="8"/>
      <x:c r="F2" s="8"/>
      <x:c r="G2" s="8"/>
    </x:row>
    <x:row r="3" ht="24" customHeight="1">
      <x:c r="A3" s="14" t="str">
        <x:v>범례  치지직(연녹색) · SOOP(연파랑) · 혼합 일정(연보라)  |  시간 미공지·재확인 항목은 전체 일정 시트에서 검토</x:v>
      </x:c>
      <x:c r="B3" s="14"/>
      <x:c r="C3" s="14"/>
      <x:c r="D3" s="14"/>
      <x:c r="E3" s="14"/>
      <x:c r="F3" s="14"/>
      <x:c r="G3" s="14"/>
    </x:row>
    <x:row r="4" ht="25" customHeight="1">
      <x:c r="A4" s="97" t="str">
        <x:v>월</x:v>
      </x:c>
      <x:c r="B4" s="97" t="str">
        <x:v>화</x:v>
      </x:c>
      <x:c r="C4" s="97" t="str">
        <x:v>수</x:v>
      </x:c>
      <x:c r="D4" s="97" t="str">
        <x:v>목</x:v>
      </x:c>
      <x:c r="E4" s="97" t="str">
        <x:v>금</x:v>
      </x:c>
      <x:c r="F4" s="97" t="str">
        <x:v>토</x:v>
      </x:c>
      <x:c r="G4" s="97" t="str">
        <x:v>일</x:v>
      </x:c>
    </x:row>
    <x:row r="5" ht="92" customHeight="1">
      <x:c r="A5" s="102" t="str"/>
      <x:c r="B5" s="102" t="str"/>
      <x:c r="C5" s="103" t="str">
        <x:v>1
시간 미공지 아롱띠 [S]</x:v>
      </x:c>
      <x:c r="D5" s="103" t="str">
        <x:v>2
20:00 헤티 [S]</x:v>
      </x:c>
      <x:c r="E5" s="103" t="str">
        <x:v>3
14:00 마테 [S]</x:v>
      </x:c>
      <x:c r="F5" s="104" t="str">
        <x:v>4
17:00 담하로 [S]
19:00 바쿠 [치]</x:v>
      </x:c>
      <x:c r="G5" s="105" t="str">
        <x:v>5</x:v>
      </x:c>
    </x:row>
    <x:row r="6" ht="92" customHeight="1">
      <x:c r="A6" s="103" t="str">
        <x:v>6
시간 미공지 드라 [S]</x:v>
      </x:c>
      <x:c r="B6" s="106" t="str">
        <x:v>7
20:00 토척새 [치]</x:v>
      </x:c>
      <x:c r="C6" s="103" t="str">
        <x:v>8
18:00 백새린 [S]</x:v>
      </x:c>
      <x:c r="D6" s="103" t="str">
        <x:v>9
11:00 소람 [S]</x:v>
      </x:c>
      <x:c r="E6" s="102" t="str">
        <x:v>10</x:v>
      </x:c>
      <x:c r="F6" s="106" t="str">
        <x:v>11
19:00 슈요 [치]</x:v>
      </x:c>
      <x:c r="G6" s="104" t="str">
        <x:v>12
14:00 해콩 [S]
17:00 김밍령 [치]</x:v>
      </x:c>
    </x:row>
    <x:row r="7" ht="92" customHeight="1">
      <x:c r="A7" s="102" t="str">
        <x:v>13</x:v>
      </x:c>
      <x:c r="B7" s="102" t="str">
        <x:v>14</x:v>
      </x:c>
      <x:c r="C7" s="103" t="str">
        <x:v>15
20:00 별뭉치 [S]</x:v>
      </x:c>
      <x:c r="D7" s="102" t="str">
        <x:v>16</x:v>
      </x:c>
      <x:c r="E7" s="106" t="str">
        <x:v>17
13:00 모모메이 유메 [치]
14:00 코오모리 히키 [치]
15:00 마호노 레비 [치]</x:v>
      </x:c>
      <x:c r="F7" s="106" t="str">
        <x:v>18
시간 미공지 이치호시 소라 [치]</x:v>
      </x:c>
      <x:c r="G7" s="106" t="str">
        <x:v>19
19:00 독키조 [치]</x:v>
      </x:c>
    </x:row>
    <x:row r="8" ht="92" customHeight="1">
      <x:c r="A8" s="103" t="str">
        <x:v>20
20:00 헤즈 [S]</x:v>
      </x:c>
      <x:c r="B8" s="102" t="str">
        <x:v>21</x:v>
      </x:c>
      <x:c r="C8" s="102" t="str">
        <x:v>22</x:v>
      </x:c>
      <x:c r="D8" s="106" t="str">
        <x:v>23
14:00 에루 솔스티스 [치]
23:00 시엔 [치]</x:v>
      </x:c>
      <x:c r="E8" s="106" t="str">
        <x:v>24
시간 미공지 리율 [치] · Live2D 공개</x:v>
      </x:c>
      <x:c r="F8" s="104" t="str">
        <x:v>25
13:00 유네 [치] · 재데뷔
14:00 우치 [S]
20:00 산호영 [치]</x:v>
      </x:c>
      <x:c r="G8" s="104" t="str">
        <x:v>26
‘5시’ 재확인 크으캬 [S]
20:00 아이노 시아 [치] · 플랫폼 재데뷔</x:v>
      </x:c>
    </x:row>
    <x:row r="9" ht="92" customHeight="1">
      <x:c r="A9" s="104" t="str">
        <x:v>27
14:00 마룽 [S]
15:30 블루니아 [치]
20:00 큐에 [치]</x:v>
      </x:c>
      <x:c r="B9" s="106" t="str">
        <x:v>28
21:00 베리아 [치]</x:v>
      </x:c>
      <x:c r="C9" s="103" t="str">
        <x:v>29
14:00 루하 [S]</x:v>
      </x:c>
      <x:c r="D9" s="104" t="str">
        <x:v>30
14:00 치즈치즈 [S] · 재데뷔
15:00 트로이메라이 [치] · Live2D 공개
19:00 (타)마고 [S]</x:v>
      </x:c>
      <x:c r="E9" s="103" t="str">
        <x:v>31
19:00 이로냥 [S]</x:v>
      </x:c>
      <x:c r="F9" s="102" t="str"/>
      <x:c r="G9" s="102" t="str"/>
    </x:row>
    <x:row r="10">
      <x:c r="A10" s="1"/>
      <x:c r="B10" s="1"/>
      <x:c r="C10" s="1"/>
      <x:c r="D10" s="1"/>
      <x:c r="E10" s="1"/>
      <x:c r="F10" s="1"/>
      <x:c r="G10" s="1"/>
    </x:row>
    <x:row r="11" ht="24" customHeight="1">
      <x:c r="A11" s="108" t="str">
        <x:v>월간 일정 36건 · 기준일 2026-07-27 · 방송 24시간 전 원문 재확인 권장</x:v>
      </x:c>
      <x:c r="B11" s="108"/>
      <x:c r="C11" s="108"/>
      <x:c r="D11" s="108"/>
      <x:c r="E11" s="108"/>
      <x:c r="F11" s="108"/>
      <x:c r="G11" s="108"/>
    </x:row>
    <x:row r="12">
      <x:c r="A12" s="1"/>
      <x:c r="B12" s="1"/>
      <x:c r="C12" s="1"/>
      <x:c r="D12" s="1"/>
      <x:c r="E12" s="1"/>
      <x:c r="F12" s="1"/>
      <x:c r="G12" s="1"/>
    </x:row>
  </x:sheetData>
  <x:mergeCells>
    <x:mergeCell ref="A1:G1"/>
    <x:mergeCell ref="A2:G2"/>
    <x:mergeCell ref="A3:G3"/>
    <x:mergeCell ref="A11:G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5" t="str">
        <x:v>2026년 8월 버튜버 데뷔 캘린더</x:v>
      </x:c>
      <x:c r="B1" s="5" t="str">
        <x:v>2026년 8월 버튜버 데뷔 캘린더</x:v>
      </x:c>
      <x:c r="C1" s="5" t="str">
        <x:v>2026년 8월 버튜버 데뷔 캘린더</x:v>
      </x:c>
      <x:c r="D1" s="5" t="str">
        <x:v>2026년 8월 버튜버 데뷔 캘린더</x:v>
      </x:c>
      <x:c r="E1" s="5" t="str">
        <x:v>2026년 8월 버튜버 데뷔 캘린더</x:v>
      </x:c>
      <x:c r="F1" s="5" t="str">
        <x:v>2026년 8월 버튜버 데뷔 캘린더</x:v>
      </x:c>
      <x:c r="G1" s="5" t="str">
        <x:v>2026년 8월 버튜버 데뷔 캘린더</x:v>
      </x:c>
    </x:row>
    <x:row r="2" ht="24" customHeight="1">
      <x:c r="A2" s="8" t="str">
        <x:v>치지직·SOOP | 시간은 한국시간(KST) | 재데뷔·모델 공개 일정은 유형을 함께 표기</x:v>
      </x:c>
      <x:c r="B2" s="8"/>
      <x:c r="C2" s="8"/>
      <x:c r="D2" s="8"/>
      <x:c r="E2" s="8"/>
      <x:c r="F2" s="8"/>
      <x:c r="G2" s="8"/>
    </x:row>
    <x:row r="3" ht="24" customHeight="1">
      <x:c r="A3" s="14" t="str">
        <x:v>범례  치지직(연녹색) · SOOP(연파랑) · 혼합 일정(연보라)  |  시간 미공지·재확인 항목은 전체 일정 시트에서 검토</x:v>
      </x:c>
      <x:c r="B3" s="14"/>
      <x:c r="C3" s="14"/>
      <x:c r="D3" s="14"/>
      <x:c r="E3" s="14"/>
      <x:c r="F3" s="14"/>
      <x:c r="G3" s="14"/>
    </x:row>
    <x:row r="4" ht="25" customHeight="1">
      <x:c r="A4" s="97" t="str">
        <x:v>월</x:v>
      </x:c>
      <x:c r="B4" s="97" t="str">
        <x:v>화</x:v>
      </x:c>
      <x:c r="C4" s="97" t="str">
        <x:v>수</x:v>
      </x:c>
      <x:c r="D4" s="97" t="str">
        <x:v>목</x:v>
      </x:c>
      <x:c r="E4" s="97" t="str">
        <x:v>금</x:v>
      </x:c>
      <x:c r="F4" s="97" t="str">
        <x:v>토</x:v>
      </x:c>
      <x:c r="G4" s="97" t="str">
        <x:v>일</x:v>
      </x:c>
    </x:row>
    <x:row r="5" ht="82" customHeight="1">
      <x:c r="A5" s="102" t="str"/>
      <x:c r="B5" s="102" t="str"/>
      <x:c r="C5" s="102" t="str"/>
      <x:c r="D5" s="102" t="str"/>
      <x:c r="E5" s="102" t="str"/>
      <x:c r="F5" s="104" t="str">
        <x:v>1
15:00 채은하 [S]
16:00 아마츠 노야 [치]
20:00 또모 [S]</x:v>
      </x:c>
      <x:c r="G5" s="105" t="str">
        <x:v>2</x:v>
      </x:c>
    </x:row>
    <x:row r="6" ht="82" customHeight="1">
      <x:c r="A6" s="102" t="str">
        <x:v>3</x:v>
      </x:c>
      <x:c r="B6" s="102" t="str">
        <x:v>4</x:v>
      </x:c>
      <x:c r="C6" s="106" t="str">
        <x:v>5
시간 미공지 나기 히유라 [치]</x:v>
      </x:c>
      <x:c r="D6" s="102" t="str">
        <x:v>6</x:v>
      </x:c>
      <x:c r="E6" s="102" t="str">
        <x:v>7</x:v>
      </x:c>
      <x:c r="F6" s="103" t="str">
        <x:v>8
12:00 먀오 [S]
14:00 텐타시현 [S]</x:v>
      </x:c>
      <x:c r="G6" s="105" t="str">
        <x:v>9</x:v>
      </x:c>
    </x:row>
    <x:row r="7" ht="82" customHeight="1">
      <x:c r="A7" s="106" t="str">
        <x:v>10
시간 미공지 프린 [치] · 3D 재데뷔</x:v>
      </x:c>
      <x:c r="B7" s="102" t="str">
        <x:v>11</x:v>
      </x:c>
      <x:c r="C7" s="102" t="str">
        <x:v>12</x:v>
      </x:c>
      <x:c r="D7" s="102" t="str">
        <x:v>13</x:v>
      </x:c>
      <x:c r="E7" s="102" t="str">
        <x:v>14</x:v>
      </x:c>
      <x:c r="F7" s="103" t="str">
        <x:v>15
14:00 먀잉 [S]</x:v>
      </x:c>
      <x:c r="G7" s="105" t="str">
        <x:v>16</x:v>
      </x:c>
    </x:row>
    <x:row r="8" ht="82" customHeight="1">
      <x:c r="A8" s="102" t="str">
        <x:v>17</x:v>
      </x:c>
      <x:c r="B8" s="102" t="str">
        <x:v>18</x:v>
      </x:c>
      <x:c r="C8" s="102" t="str">
        <x:v>19</x:v>
      </x:c>
      <x:c r="D8" s="102" t="str">
        <x:v>20</x:v>
      </x:c>
      <x:c r="E8" s="102" t="str">
        <x:v>21</x:v>
      </x:c>
      <x:c r="F8" s="106" t="str">
        <x:v>22
14:00 키키모라 [치]</x:v>
      </x:c>
      <x:c r="G8" s="105" t="str">
        <x:v>23</x:v>
      </x:c>
    </x:row>
    <x:row r="9" ht="82" customHeight="1">
      <x:c r="A9" s="102" t="str">
        <x:v>24</x:v>
      </x:c>
      <x:c r="B9" s="102" t="str">
        <x:v>25</x:v>
      </x:c>
      <x:c r="C9" s="102" t="str">
        <x:v>26</x:v>
      </x:c>
      <x:c r="D9" s="102" t="str">
        <x:v>27</x:v>
      </x:c>
      <x:c r="E9" s="102" t="str">
        <x:v>28</x:v>
      </x:c>
      <x:c r="F9" s="105" t="str">
        <x:v>29</x:v>
      </x:c>
      <x:c r="G9" s="105" t="str">
        <x:v>30</x:v>
      </x:c>
    </x:row>
    <x:row r="10" ht="82" customHeight="1">
      <x:c r="A10" s="102" t="str">
        <x:v>31</x:v>
      </x:c>
      <x:c r="B10" s="102" t="str"/>
      <x:c r="C10" s="102" t="str"/>
      <x:c r="D10" s="102" t="str"/>
      <x:c r="E10" s="102" t="str"/>
      <x:c r="F10" s="102" t="str"/>
      <x:c r="G10" s="102" t="str"/>
    </x:row>
    <x:row r="11">
      <x:c r="A11" s="1"/>
      <x:c r="B11" s="1"/>
      <x:c r="C11" s="1"/>
      <x:c r="D11" s="1"/>
      <x:c r="E11" s="1"/>
      <x:c r="F11" s="1"/>
      <x:c r="G11" s="1"/>
    </x:row>
    <x:row r="12" ht="24" customHeight="1">
      <x:c r="A12" s="108" t="str">
        <x:v>월간 일정 9건 · 기준일 2026-07-27 · 방송 24시간 전 원문 재확인 권장</x:v>
      </x:c>
      <x:c r="B12" s="108"/>
      <x:c r="C12" s="108"/>
      <x:c r="D12" s="108"/>
      <x:c r="E12" s="108"/>
      <x:c r="F12" s="108"/>
      <x:c r="G12" s="108"/>
    </x:row>
  </x:sheetData>
  <x:mergeCells>
    <x:mergeCell ref="A1:G1"/>
    <x:mergeCell ref="A2:G2"/>
    <x:mergeCell ref="A3:G3"/>
    <x:mergeCell ref="A12:G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40" hidden="0" customWidth="1"/>
    <x:col min="4" max="4" width="14" hidden="0" customWidth="1"/>
    <x:col min="5" max="5" width="34" hidden="0" customWidth="1"/>
    <x:col min="6" max="6" width="4" hidden="0" customWidth="1"/>
  </x:cols>
  <x:sheetData>
    <x:row r="1" ht="34" customHeight="1">
      <x:c r="A1" s="5" t="str">
        <x:v>버튜버 데뷔 일정 데이터 입력 기준</x:v>
      </x:c>
      <x:c r="B1" s="5" t="str">
        <x:v>버튜버 데뷔 일정 데이터 입력 기준</x:v>
      </x:c>
      <x:c r="C1" s="5" t="str">
        <x:v>버튜버 데뷔 일정 데이터 입력 기준</x:v>
      </x:c>
      <x:c r="D1" s="5" t="str">
        <x:v>버튜버 데뷔 일정 데이터 입력 기준</x:v>
      </x:c>
      <x:c r="E1" s="5" t="str">
        <x:v>버튜버 데뷔 일정 데이터 입력 기준</x:v>
      </x:c>
      <x:c r="F1" s="5" t="str">
        <x:v>버튜버 데뷔 일정 데이터 입력 기준</x:v>
      </x:c>
    </x:row>
    <x:row r="2" ht="26" customHeight="1">
      <x:c r="A2" s="8" t="str">
        <x:v>서비스 등록 시 신규 데뷔와 재데뷔·플랫폼 이적·모델 공개를 분리해 중복 집계를 방지합니다.</x:v>
      </x:c>
      <x:c r="B2" s="8"/>
      <x:c r="C2" s="8"/>
      <x:c r="D2" s="8"/>
      <x:c r="E2" s="8"/>
      <x:c r="F2" s="8"/>
    </x:row>
    <x:row r="3">
      <x:c r="A3" s="1"/>
      <x:c r="B3" s="1"/>
      <x:c r="C3" s="1"/>
      <x:c r="D3" s="1"/>
      <x:c r="E3" s="1"/>
      <x:c r="F3" s="1"/>
    </x:row>
    <x:row r="4">
      <x:c r="A4" s="115" t="str">
        <x:v>표시명</x:v>
      </x:c>
      <x:c r="B4" s="115" t="str">
        <x:v>권장 코드</x:v>
      </x:c>
      <x:c r="C4" s="115" t="str">
        <x:v>정의</x:v>
      </x:c>
      <x:c r="D4" s="115" t="str">
        <x:v>신규 집계</x:v>
      </x:c>
      <x:c r="E4" s="115" t="str">
        <x:v>운영 메모</x:v>
      </x:c>
      <x:c r="F4" s="1"/>
    </x:row>
    <x:row r="5" ht="42" customHeight="1">
      <x:c r="A5" s="116" t="str">
        <x:v>최초 데뷔</x:v>
      </x:c>
      <x:c r="B5" s="114" t="str">
        <x:v>first_debut</x:v>
      </x:c>
      <x:c r="C5" s="114" t="str">
        <x:v>해당 캐릭터·채널의 첫 공식 데뷔 방송</x:v>
      </x:c>
      <x:c r="D5" s="117" t="str">
        <x:v>포함</x:v>
      </x:c>
      <x:c r="E5" s="114" t="str">
        <x:v>신규 버튜버 KPI에 포함</x:v>
      </x:c>
      <x:c r="F5" s="1"/>
    </x:row>
    <x:row r="6" ht="42" customHeight="1">
      <x:c r="A6" s="116" t="str">
        <x:v>재데뷔</x:v>
      </x:c>
      <x:c r="B6" s="114" t="str">
        <x:v>redebut</x:v>
      </x:c>
      <x:c r="C6" s="114" t="str">
        <x:v>기존 활동자의 리뉴얼·재출발 방송</x:v>
      </x:c>
      <x:c r="D6" s="117" t="str">
        <x:v>제외</x:v>
      </x:c>
      <x:c r="E6" s="114" t="str">
        <x:v>별도 이벤트로 노출</x:v>
      </x:c>
      <x:c r="F6" s="1"/>
    </x:row>
    <x:row r="7" ht="42" customHeight="1">
      <x:c r="A7" s="116" t="str">
        <x:v>플랫폼 재데뷔</x:v>
      </x:c>
      <x:c r="B7" s="114" t="str">
        <x:v>platform_redebut</x:v>
      </x:c>
      <x:c r="C7" s="114" t="str">
        <x:v>타 플랫폼 활동자가 새 플랫폼에서 재데뷔</x:v>
      </x:c>
      <x:c r="D7" s="117" t="str">
        <x:v>제외</x:v>
      </x:c>
      <x:c r="E7" s="114" t="str">
        <x:v>이전 활동 이력 연결</x:v>
      </x:c>
      <x:c r="F7" s="1"/>
    </x:row>
    <x:row r="8" ht="42" customHeight="1">
      <x:c r="A8" s="116" t="str">
        <x:v>Live2D 공개</x:v>
      </x:c>
      <x:c r="B8" s="114" t="str">
        <x:v>live2d_reveal</x:v>
      </x:c>
      <x:c r="C8" s="114" t="str">
        <x:v>Live2D 모델 첫 공개·첫 방송</x:v>
      </x:c>
      <x:c r="D8" s="117" t="str">
        <x:v>제외</x:v>
      </x:c>
      <x:c r="E8" s="114" t="str">
        <x:v>데뷔와 혼동하지 않도록 구분</x:v>
      </x:c>
      <x:c r="F8" s="1"/>
    </x:row>
    <x:row r="9" ht="42" customHeight="1">
      <x:c r="A9" s="116" t="str">
        <x:v>3D 재데뷔</x:v>
      </x:c>
      <x:c r="B9" s="114" t="str">
        <x:v>model3d_redebut</x:v>
      </x:c>
      <x:c r="C9" s="114" t="str">
        <x:v>3D 모델 공개를 포함한 재데뷔</x:v>
      </x:c>
      <x:c r="D9" s="117" t="str">
        <x:v>제외</x:v>
      </x:c>
      <x:c r="E9" s="114" t="str">
        <x:v>모델 공개 이벤트로 분류</x:v>
      </x:c>
      <x:c r="F9" s="1"/>
    </x:row>
    <x:row r="10">
      <x:c r="A10" s="1"/>
      <x:c r="B10" s="1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>
      <x:c r="A12" s="115" t="str">
        <x:v>시간 확인 값</x:v>
      </x:c>
      <x:c r="B12" s="115" t="str">
        <x:v>등록 검토</x:v>
      </x:c>
      <x:c r="C12" s="115" t="str">
        <x:v>사용 조건</x:v>
      </x:c>
      <x:c r="D12" s="115" t="str">
        <x:v>처리 방법</x:v>
      </x:c>
      <x:c r="E12" s="1"/>
      <x:c r="F12" s="1"/>
    </x:row>
    <x:row r="13" ht="38" customHeight="1">
      <x:c r="A13" s="117" t="str">
        <x:v>확인</x:v>
      </x:c>
      <x:c r="B13" s="117" t="str">
        <x:v>등록 가능</x:v>
      </x:c>
      <x:c r="C13" s="114" t="str">
        <x:v>24시간제 시간이 명시됨</x:v>
      </x:c>
      <x:c r="D13" s="114" t="str">
        <x:v>날짜·시간을 일정에 등록</x:v>
      </x:c>
      <x:c r="E13" s="1"/>
      <x:c r="F13" s="1"/>
    </x:row>
    <x:row r="14" ht="38" customHeight="1">
      <x:c r="A14" s="117" t="str">
        <x:v>미공지</x:v>
      </x:c>
      <x:c r="B14" s="117" t="str">
        <x:v>검토 필요</x:v>
      </x:c>
      <x:c r="C14" s="114" t="str">
        <x:v>날짜만 확인됨</x:v>
      </x:c>
      <x:c r="D14" s="114" t="str">
        <x:v>시간을 비워 두고 공지 갱신 확인</x:v>
      </x:c>
      <x:c r="E14" s="1"/>
      <x:c r="F14" s="1"/>
    </x:row>
    <x:row r="15" ht="38" customHeight="1">
      <x:c r="A15" s="117" t="str">
        <x:v>재확인 필요</x:v>
      </x:c>
      <x:c r="B15" s="117" t="str">
        <x:v>검토 필요</x:v>
      </x:c>
      <x:c r="C15" s="114" t="str">
        <x:v>오전·오후 또는 변경 여부가 불명확</x:v>
      </x:c>
      <x:c r="D15" s="114" t="str">
        <x:v>원문·방송국에서 재확인 후 등록</x:v>
      </x:c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20" t="str">
        <x:v>운영 체크리스트</x:v>
      </x:c>
      <x:c r="B18" s="120"/>
      <x:c r="C18" s="120"/>
      <x:c r="D18" s="120"/>
      <x:c r="E18" s="120"/>
      <x:c r="F18" s="120"/>
    </x:row>
    <x:row r="19" ht="32" customHeight="1">
      <x:c r="A19" s="122" t="str">
        <x:v>1. 일정 시간은 KST 기준으로 저장하고 원문 시간대가 다르면 변환 근거를 기록</x:v>
      </x:c>
      <x:c r="B19" s="122"/>
      <x:c r="C19" s="122"/>
      <x:c r="D19" s="122"/>
      <x:c r="E19" s="122"/>
      <x:c r="F19" s="122"/>
    </x:row>
    <x:row r="20" ht="32" customHeight="1">
      <x:c r="A20" s="122" t="str">
        <x:v>2. 방송 24시간 전 공지 수정·연기·취소 여부를 재확인</x:v>
      </x:c>
      <x:c r="B20" s="122"/>
      <x:c r="C20" s="122"/>
      <x:c r="D20" s="122"/>
      <x:c r="E20" s="122"/>
      <x:c r="F20" s="122"/>
    </x:row>
    <x:row r="21" ht="32" customHeight="1">
      <x:c r="A21" s="122" t="str">
        <x:v>3. 동일 인물의 플랫폼 이적·재데뷔·모델 공개를 최초 데뷔로 중복 집계하지 않음</x:v>
      </x:c>
      <x:c r="B21" s="122"/>
      <x:c r="C21" s="122"/>
      <x:c r="D21" s="122"/>
      <x:c r="E21" s="122"/>
      <x:c r="F21" s="122"/>
    </x:row>
    <x:row r="22" ht="32" customHeight="1">
      <x:c r="A22" s="122" t="str">
        <x:v>4. 검색 색인 누락에 대비해 공식 채널·당사자 SNS·소속사 공지를 함께 확인</x:v>
      </x:c>
      <x:c r="B22" s="122"/>
      <x:c r="C22" s="122"/>
      <x:c r="D22" s="122"/>
      <x:c r="E22" s="122"/>
      <x:c r="F22" s="122"/>
    </x:row>
    <x:row r="23" ht="32" customHeight="1">
      <x:c r="A23" s="122" t="str">
        <x:v>5. 출처 URL은 삭제·변경 가능성이 있으므로 채널 ID와 게시물 URL을 함께 보관 권장</x:v>
      </x:c>
      <x:c r="B23" s="122"/>
      <x:c r="C23" s="122"/>
      <x:c r="D23" s="122"/>
      <x:c r="E23" s="122"/>
      <x:c r="F23" s="122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</x:sheetData>
  <x:mergeCells>
    <x:mergeCell ref="A1:F1"/>
    <x:mergeCell ref="A2:F2"/>
    <x:mergeCell ref="A18:F18"/>
    <x:mergeCell ref="A19:F19"/>
    <x:mergeCell ref="A20:F20"/>
    <x:mergeCell ref="A21:F21"/>
    <x:mergeCell ref="A22:F22"/>
    <x:mergeCell ref="A23:F23"/>
  </x:mergeCells>
  <x:pageMargins left="0.7" right="0.7" top="0.75" bottom="0.75" header="0.3" footer="0.3"/>
</x:worksheet>
</file>